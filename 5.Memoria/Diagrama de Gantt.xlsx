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aleja\Desktop\TFM\5.Memoria\"/>
    </mc:Choice>
  </mc:AlternateContent>
  <xr:revisionPtr revIDLastSave="0" documentId="13_ncr:1_{A599EF80-004C-4C49-BE80-DEC3DF079A35}" xr6:coauthVersionLast="47" xr6:coauthVersionMax="47" xr10:uidLastSave="{00000000-0000-0000-0000-000000000000}"/>
  <bookViews>
    <workbookView xWindow="-110" yWindow="-110" windowWidth="19420" windowHeight="10300" xr2:uid="{00000000-000D-0000-FFFF-FFFF00000000}"/>
  </bookViews>
  <sheets>
    <sheet name="ProjectSchedule" sheetId="1" r:id="rId1"/>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91029"/>
</workbook>
</file>

<file path=xl/calcChain.xml><?xml version="1.0" encoding="utf-8"?>
<calcChain xmlns="http://schemas.openxmlformats.org/spreadsheetml/2006/main">
  <c r="FN6" i="1" l="1"/>
  <c r="FO6" i="1"/>
  <c r="FP6" i="1"/>
  <c r="FQ6" i="1"/>
  <c r="FR6" i="1"/>
  <c r="FS6" i="1"/>
  <c r="FT6" i="1"/>
  <c r="FN5" i="1"/>
  <c r="FO5" i="1"/>
  <c r="FP5" i="1" s="1"/>
  <c r="FQ5" i="1" s="1"/>
  <c r="FR5" i="1" s="1"/>
  <c r="FS5" i="1" s="1"/>
  <c r="FT5" i="1" s="1"/>
  <c r="FN4" i="1"/>
  <c r="ES6" i="1"/>
  <c r="ET6" i="1"/>
  <c r="EU6" i="1"/>
  <c r="EV6" i="1"/>
  <c r="EW6" i="1"/>
  <c r="EX6" i="1"/>
  <c r="EY6" i="1"/>
  <c r="EZ6" i="1"/>
  <c r="FA6" i="1"/>
  <c r="FB6" i="1"/>
  <c r="FC6" i="1"/>
  <c r="FD6" i="1"/>
  <c r="FE6" i="1"/>
  <c r="FF6" i="1"/>
  <c r="FG6" i="1"/>
  <c r="FH6" i="1"/>
  <c r="FI6" i="1"/>
  <c r="FJ6" i="1"/>
  <c r="FK6" i="1"/>
  <c r="FL6" i="1"/>
  <c r="FM6" i="1"/>
  <c r="ES5" i="1"/>
  <c r="ET5" i="1"/>
  <c r="EU5" i="1" s="1"/>
  <c r="EV5" i="1" s="1"/>
  <c r="EW5" i="1" s="1"/>
  <c r="EX5" i="1" s="1"/>
  <c r="EY5" i="1" s="1"/>
  <c r="EZ5" i="1" s="1"/>
  <c r="FA5" i="1" s="1"/>
  <c r="FB5" i="1" s="1"/>
  <c r="FC5" i="1" s="1"/>
  <c r="FD5" i="1" s="1"/>
  <c r="FE5" i="1" s="1"/>
  <c r="FF5" i="1" s="1"/>
  <c r="FG5" i="1" s="1"/>
  <c r="FH5" i="1" s="1"/>
  <c r="FI5" i="1" s="1"/>
  <c r="FJ5" i="1" s="1"/>
  <c r="FK5" i="1" s="1"/>
  <c r="FL5" i="1" s="1"/>
  <c r="FM5" i="1" s="1"/>
  <c r="ES4" i="1"/>
  <c r="EZ4" i="1" s="1"/>
  <c r="FG4" i="1" s="1"/>
  <c r="DQ4" i="1"/>
  <c r="DX4" i="1" s="1"/>
  <c r="EE4" i="1" s="1"/>
  <c r="EL4" i="1" s="1"/>
  <c r="DJ6" i="1"/>
  <c r="DK6" i="1"/>
  <c r="DL6" i="1"/>
  <c r="DM6" i="1"/>
  <c r="DN6" i="1"/>
  <c r="DO6" i="1"/>
  <c r="DP6" i="1"/>
  <c r="DQ6" i="1"/>
  <c r="DR6" i="1"/>
  <c r="DS6" i="1"/>
  <c r="DT6" i="1"/>
  <c r="DU6" i="1"/>
  <c r="DV6" i="1"/>
  <c r="DW6" i="1"/>
  <c r="DX6" i="1"/>
  <c r="DY6" i="1"/>
  <c r="DZ6" i="1"/>
  <c r="EA6" i="1"/>
  <c r="EB6" i="1"/>
  <c r="EC6" i="1"/>
  <c r="ED6" i="1"/>
  <c r="EE6" i="1"/>
  <c r="EF6" i="1"/>
  <c r="EG6" i="1"/>
  <c r="EH6" i="1"/>
  <c r="EI6" i="1"/>
  <c r="EJ6" i="1"/>
  <c r="EK6" i="1"/>
  <c r="EL6" i="1"/>
  <c r="EM6" i="1"/>
  <c r="EN6" i="1"/>
  <c r="EO6" i="1"/>
  <c r="EP6" i="1"/>
  <c r="EQ6" i="1"/>
  <c r="ER6" i="1"/>
  <c r="DJ5" i="1"/>
  <c r="DK5" i="1"/>
  <c r="DL5" i="1" s="1"/>
  <c r="DM5" i="1" s="1"/>
  <c r="DN5" i="1" s="1"/>
  <c r="DO5" i="1" s="1"/>
  <c r="DP5" i="1" s="1"/>
  <c r="DQ5" i="1" s="1"/>
  <c r="DR5" i="1" s="1"/>
  <c r="DS5" i="1" s="1"/>
  <c r="DT5" i="1" s="1"/>
  <c r="DU5" i="1" s="1"/>
  <c r="DV5" i="1" s="1"/>
  <c r="DW5" i="1" s="1"/>
  <c r="DX5" i="1" s="1"/>
  <c r="DY5" i="1" s="1"/>
  <c r="DZ5" i="1" s="1"/>
  <c r="EA5" i="1" s="1"/>
  <c r="EB5" i="1" s="1"/>
  <c r="EC5" i="1" s="1"/>
  <c r="ED5" i="1" s="1"/>
  <c r="EE5" i="1" s="1"/>
  <c r="EF5" i="1" s="1"/>
  <c r="EG5" i="1" s="1"/>
  <c r="EH5" i="1" s="1"/>
  <c r="EI5" i="1" s="1"/>
  <c r="EJ5" i="1" s="1"/>
  <c r="EK5" i="1" s="1"/>
  <c r="EL5" i="1" s="1"/>
  <c r="EM5" i="1" s="1"/>
  <c r="EN5" i="1" s="1"/>
  <c r="EO5" i="1" s="1"/>
  <c r="EP5" i="1" s="1"/>
  <c r="EQ5" i="1" s="1"/>
  <c r="ER5" i="1" s="1"/>
  <c r="DJ4" i="1"/>
  <c r="DC4" i="1"/>
  <c r="H31" i="1" l="1"/>
  <c r="H30" i="1"/>
  <c r="H29" i="1"/>
  <c r="H28" i="1"/>
  <c r="H27" i="1"/>
  <c r="H25" i="1"/>
  <c r="H24" i="1"/>
  <c r="H23" i="1"/>
  <c r="H22" i="1"/>
  <c r="H19" i="1"/>
  <c r="H18" i="1"/>
  <c r="H17" i="1"/>
  <c r="H16" i="1"/>
  <c r="H15" i="1"/>
  <c r="H13" i="1"/>
  <c r="H12" i="1"/>
  <c r="H11" i="1"/>
  <c r="H10" i="1"/>
  <c r="H9" i="1"/>
  <c r="H7" i="1"/>
  <c r="I5" i="1"/>
  <c r="I6" i="1" s="1"/>
  <c r="I4" i="1" l="1"/>
  <c r="J5" i="1"/>
  <c r="J6" i="1" l="1"/>
  <c r="K5" i="1"/>
  <c r="K6" i="1" l="1"/>
  <c r="L5" i="1"/>
  <c r="L6" i="1" l="1"/>
  <c r="M5" i="1"/>
  <c r="M6" i="1" l="1"/>
  <c r="N5" i="1"/>
  <c r="N6" i="1" l="1"/>
  <c r="O5" i="1"/>
  <c r="O6" i="1" l="1"/>
  <c r="P5" i="1"/>
  <c r="P6" i="1" l="1"/>
  <c r="Q5" i="1"/>
  <c r="P4" i="1"/>
  <c r="Q6" i="1" l="1"/>
  <c r="R5" i="1"/>
  <c r="R6" i="1" l="1"/>
  <c r="S5" i="1"/>
  <c r="S6" i="1" l="1"/>
  <c r="T5" i="1"/>
  <c r="T6" i="1" l="1"/>
  <c r="U5" i="1"/>
  <c r="U6" i="1" l="1"/>
  <c r="V5" i="1"/>
  <c r="V6" i="1" l="1"/>
  <c r="W5" i="1"/>
  <c r="W6" i="1" l="1"/>
  <c r="X5" i="1"/>
  <c r="W4" i="1"/>
  <c r="X6" i="1" l="1"/>
  <c r="Y5" i="1"/>
  <c r="Y6" i="1" l="1"/>
  <c r="Z5" i="1"/>
  <c r="Z6" i="1" l="1"/>
  <c r="AA5" i="1"/>
  <c r="AA6" i="1" l="1"/>
  <c r="AB5" i="1"/>
  <c r="AB6" i="1" l="1"/>
  <c r="AC5" i="1"/>
  <c r="AC6" i="1" l="1"/>
  <c r="AD5" i="1"/>
  <c r="AD4" i="1" l="1"/>
  <c r="AD6" i="1"/>
  <c r="AE5" i="1"/>
  <c r="AE6" i="1" l="1"/>
  <c r="AF5" i="1"/>
  <c r="AF6" i="1" l="1"/>
  <c r="AG5" i="1"/>
  <c r="AG6" i="1" l="1"/>
  <c r="AH5" i="1"/>
  <c r="AH6" i="1" l="1"/>
  <c r="AI5" i="1"/>
  <c r="AI6" i="1" l="1"/>
  <c r="AJ5" i="1"/>
  <c r="AJ6" i="1" l="1"/>
  <c r="AK5" i="1"/>
  <c r="AK6" i="1" l="1"/>
  <c r="AL5" i="1"/>
  <c r="AK4" i="1"/>
  <c r="AL6" i="1" l="1"/>
  <c r="AM5" i="1"/>
  <c r="AM6" i="1" l="1"/>
  <c r="AN5" i="1"/>
  <c r="AN6" i="1" l="1"/>
  <c r="AO5" i="1"/>
  <c r="AO6" i="1" l="1"/>
  <c r="AP5" i="1"/>
  <c r="AP6" i="1" l="1"/>
  <c r="AQ5" i="1"/>
  <c r="AQ6" i="1" l="1"/>
  <c r="AR5" i="1"/>
  <c r="AR6" i="1" l="1"/>
  <c r="AS5" i="1"/>
  <c r="AR4" i="1"/>
  <c r="AS6" i="1" l="1"/>
  <c r="AT5" i="1"/>
  <c r="AT6" i="1" l="1"/>
  <c r="AU5" i="1"/>
  <c r="AU6" i="1" l="1"/>
  <c r="AV5" i="1"/>
  <c r="AV6" i="1" l="1"/>
  <c r="AW5" i="1"/>
  <c r="AW6" i="1" l="1"/>
  <c r="AX5" i="1"/>
  <c r="AX6" i="1" l="1"/>
  <c r="AY5" i="1"/>
  <c r="AY6" i="1" l="1"/>
  <c r="AZ5" i="1"/>
  <c r="AY4" i="1"/>
  <c r="AZ6" i="1" l="1"/>
  <c r="BA5" i="1"/>
  <c r="BA6" i="1" l="1"/>
  <c r="BB5" i="1"/>
  <c r="BB6" i="1" l="1"/>
  <c r="BC5" i="1"/>
  <c r="BC6" i="1" l="1"/>
  <c r="BD5" i="1"/>
  <c r="BD6" i="1" l="1"/>
  <c r="BE5" i="1"/>
  <c r="BE6" i="1" l="1"/>
  <c r="BF5" i="1"/>
  <c r="BF4" i="1" l="1"/>
  <c r="BF6" i="1"/>
  <c r="BG5" i="1"/>
  <c r="BG6" i="1" l="1"/>
  <c r="BH5" i="1"/>
  <c r="BH6" i="1" l="1"/>
  <c r="BI5" i="1"/>
  <c r="BI6" i="1" l="1"/>
  <c r="BJ5" i="1"/>
  <c r="BJ6" i="1" l="1"/>
  <c r="BK5" i="1"/>
  <c r="BK6" i="1" l="1"/>
  <c r="BL5" i="1"/>
  <c r="BL6" i="1" l="1"/>
  <c r="BM5" i="1"/>
  <c r="BM6" i="1" l="1"/>
  <c r="BN5" i="1"/>
  <c r="BM4" i="1"/>
  <c r="BN6" i="1" l="1"/>
  <c r="BO5" i="1"/>
  <c r="BO6" i="1" l="1"/>
  <c r="BP5" i="1"/>
  <c r="BP6" i="1" l="1"/>
  <c r="BQ5" i="1"/>
  <c r="BQ6" i="1" l="1"/>
  <c r="BR5" i="1"/>
  <c r="BR6" i="1" l="1"/>
  <c r="BS5" i="1"/>
  <c r="BS6" i="1" l="1"/>
  <c r="BT5" i="1"/>
  <c r="BT6" i="1" l="1"/>
  <c r="BU5" i="1"/>
  <c r="BT4" i="1"/>
  <c r="BU6" i="1" l="1"/>
  <c r="BV5" i="1"/>
  <c r="BV6" i="1" l="1"/>
  <c r="BW5" i="1"/>
  <c r="BW6" i="1" l="1"/>
  <c r="BX5" i="1"/>
  <c r="BX6" i="1" l="1"/>
  <c r="BY5" i="1"/>
  <c r="BY6" i="1" l="1"/>
  <c r="BZ5" i="1"/>
  <c r="BZ6" i="1" l="1"/>
  <c r="CA5" i="1"/>
  <c r="CA6" i="1" l="1"/>
  <c r="CB5" i="1"/>
  <c r="CA4" i="1"/>
  <c r="CB6" i="1" l="1"/>
  <c r="CC5" i="1"/>
  <c r="CC6" i="1" l="1"/>
  <c r="CD5" i="1"/>
  <c r="CD6" i="1" l="1"/>
  <c r="CE5" i="1"/>
  <c r="CE6" i="1" l="1"/>
  <c r="CF5" i="1"/>
  <c r="CF6" i="1" l="1"/>
  <c r="CG5" i="1"/>
  <c r="CG6" i="1" l="1"/>
  <c r="CH5" i="1"/>
  <c r="CH4" i="1" l="1"/>
  <c r="CO4" i="1" s="1"/>
  <c r="CV4" i="1" s="1"/>
  <c r="CH6" i="1"/>
  <c r="CI5" i="1"/>
  <c r="CI6" i="1" l="1"/>
  <c r="CJ5" i="1"/>
  <c r="CJ6" i="1" l="1"/>
  <c r="CK5" i="1"/>
  <c r="CK6" i="1" l="1"/>
  <c r="CL5" i="1"/>
  <c r="CL6" i="1" l="1"/>
  <c r="CM5" i="1"/>
  <c r="CM6" i="1" l="1"/>
  <c r="CN5" i="1"/>
  <c r="CN6" i="1" l="1"/>
  <c r="CO5" i="1"/>
  <c r="CO6" i="1" l="1"/>
  <c r="CP5" i="1"/>
  <c r="CP6" i="1" l="1"/>
  <c r="CQ5" i="1"/>
  <c r="CQ6" i="1" l="1"/>
  <c r="CR5" i="1"/>
  <c r="CR6" i="1" l="1"/>
  <c r="CS5" i="1"/>
  <c r="CS6" i="1" l="1"/>
  <c r="CT5" i="1"/>
  <c r="CT6" i="1" l="1"/>
  <c r="CU5" i="1"/>
  <c r="CU6" i="1" l="1"/>
  <c r="CV5" i="1"/>
  <c r="CV6" i="1" l="1"/>
  <c r="CW5" i="1"/>
  <c r="CW6" i="1" l="1"/>
  <c r="CX5" i="1"/>
  <c r="CX6" i="1" l="1"/>
  <c r="CY5" i="1"/>
  <c r="CY6" i="1" l="1"/>
  <c r="CZ5" i="1"/>
  <c r="CZ6" i="1" l="1"/>
  <c r="DA5" i="1"/>
  <c r="DA6" i="1" l="1"/>
  <c r="DB5" i="1"/>
  <c r="DB6" i="1" l="1"/>
  <c r="DC5" i="1"/>
  <c r="DC6" i="1" l="1"/>
  <c r="DD5" i="1"/>
  <c r="DD6" i="1" l="1"/>
  <c r="DE5" i="1"/>
  <c r="DE6" i="1" l="1"/>
  <c r="DF5" i="1"/>
  <c r="DF6" i="1" l="1"/>
  <c r="DG5" i="1"/>
  <c r="DG6" i="1" l="1"/>
  <c r="DH5" i="1"/>
  <c r="DH6" i="1" l="1"/>
  <c r="DI5" i="1"/>
  <c r="DI6" i="1" s="1"/>
</calcChain>
</file>

<file path=xl/sharedStrings.xml><?xml version="1.0" encoding="utf-8"?>
<sst xmlns="http://schemas.openxmlformats.org/spreadsheetml/2006/main" count="48" uniqueCount="47">
  <si>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</si>
  <si>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Optimizacion de carteras basada en la prediccion de retornos mediante modelos de Machine Learning y Series Temporales</t>
  </si>
  <si>
    <t>Escriba el nombre de la compañía en la celda B2.</t>
  </si>
  <si>
    <t>Universidad Complutense de Madrid</t>
  </si>
  <si>
    <t>Escriba el nombre del responsable del proyecto en la celda B3. Escriba la fecha de comienzo del proyecto en la celda E3. Inicio del proyecto: la etiqueta se encuentra en la celda C3.</t>
  </si>
  <si>
    <t>Master en Inteligencia Artificial</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</si>
  <si>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</si>
  <si>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</si>
  <si>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Alejandra Llord</t>
  </si>
  <si>
    <t>Semana para mostrar:</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</si>
  <si>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</si>
  <si>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</si>
  <si>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</si>
  <si>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PROGRESO</t>
  </si>
  <si>
    <t>INICIO</t>
  </si>
  <si>
    <t>FIN</t>
  </si>
  <si>
    <t>DÍAS</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</si>
  <si>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</si>
  <si>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</si>
  <si>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Fase 1: Datos y preprocesado (4 semanas)</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</si>
  <si>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</si>
  <si>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</si>
  <si>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Tarea 3: Preprocesado: calculo de retornos y test de estacionariedad</t>
  </si>
  <si>
    <t>Tarea 4: Construccion de los datasets diario y semanal</t>
  </si>
  <si>
    <t>Tarea 5: Analisis descriptivo de retornos y correlaciones</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</si>
  <si>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</si>
  <si>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Fase 2: Modelizacion series temporales y ML (8 semanas)</t>
  </si>
  <si>
    <t>Tarea 3: Modelos de Machine Learning: Ridge, Random Forest y GBR</t>
  </si>
  <si>
    <t>Tarea 4: Exploracion de lags (0-4) como variables predictoras</t>
  </si>
  <si>
    <t>Tarea 5: Comparacion de modelos y seleccion del mejor</t>
  </si>
  <si>
    <t>Bloque de título fase de ejemplo</t>
  </si>
  <si>
    <t>Fase 3: Optimizacion de carteras Markowitz (5 semanas)</t>
  </si>
  <si>
    <t>Tarea 1: Diseno del backtest semanal con walk-forward</t>
  </si>
  <si>
    <t>Tarea 4: Analisis comparativo entre las tres estrategias</t>
  </si>
  <si>
    <t>Fase 4: Redaccion de la memoria y cierre (10 semanas)</t>
  </si>
  <si>
    <t>Tarea 1: Redaccion de introduccion, datos y estado del arte</t>
  </si>
  <si>
    <t>Tarea 2: Redaccion de metodologia y resultados</t>
  </si>
  <si>
    <t>Tarea 3: Preparacion de figuras, tablas y apendices</t>
  </si>
  <si>
    <t>Tarea 4: Revision final del documento</t>
  </si>
  <si>
    <t>Tarea 5: Entrega del borrador (12 de junio de 2026)</t>
  </si>
  <si>
    <t>Tarea 1: Revision conceptos y planificación del proyecto</t>
  </si>
  <si>
    <t>Tarea 2: Descarga y entendimiento de datos historicos de ETFs con yfinance</t>
  </si>
  <si>
    <t>Tarea 1: Modelos ARIMA diarios con walk-forward, baseline y zeros</t>
  </si>
  <si>
    <t>Tarea 2: Modelos ARIMA semanales con walk-forward, baseline y zeros</t>
  </si>
  <si>
    <t>Tarea 3: Evaluacion de resultados</t>
  </si>
  <si>
    <t>Tarea 2: Implementacion de las estrategias de Markowitz</t>
  </si>
  <si>
    <t>Tarea 5: Interpretacion de los resultados del backtest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</si>
</sst>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m\-yy;@"/>
    <numFmt numFmtId="165" formatCode="d"/>
    <numFmt numFmtId="166" formatCode="[$-C0A]d\ &quot;de&quot;\ mmmm\ &quot;de&quot;\ yyyy;@"/>
    <numFmt numFmtId="167" formatCode="ddd\,\ m/d/yyyy"/>
  </numFmts>
  <fonts count="21"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b/>
      <sz val="16"/>
      <color theme="1"/>
      <name val="Calibri"/>
      <family val="2"/>
      <scheme val="minor"/>
    </font>
    <font>
      <b/>
      <sz val="11"/>
      <color theme="1" tint="0.34998626667073579"/>
      <name val="Calibri"/>
      <family val="2"/>
      <scheme val="minor"/>
    </font>
    <font>
      <sz val="11"/>
      <color theme="1" tint="0.34998626667073579"/>
      <name val="Calibri"/>
      <family val="2"/>
      <scheme val="minor"/>
    </font>
    <font>
      <b/>
      <sz val="20"/>
      <color theme="1" tint="0.34998626667073579"/>
      <name val="Calibri"/>
      <family val="2"/>
      <scheme val="major"/>
    </font>
  </fonts>
  <fills count="13">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s>
  <borders count="14">
    <border>
      <left/>
      <right/>
      <top/>
      <bottom/>
      <diagonal/>
    </border>
    <border>
      <left/>
      <right/>
      <top style="thin">
        <color theme="0" tint="-0.34998626667073579"/>
      </top>
      <bottom/>
      <diagonal/>
    </border>
    <border>
      <left/>
      <right/>
      <top style="medium">
        <color theme="0" tint="-0.14993743705557422"/>
      </top>
      <bottom style="medium">
        <color theme="0" tint="-0.1499374370555742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3743705557422"/>
      </bottom>
      <diagonal/>
    </border>
    <border>
      <left style="thin">
        <color theme="0" tint="-0.14990691854609822"/>
      </left>
      <right style="thin">
        <color theme="0" tint="-0.14990691854609822"/>
      </right>
      <top style="medium">
        <color theme="0" tint="-0.14993743705557422"/>
      </top>
      <bottom style="medium">
        <color theme="0" tint="-0.14993743705557422"/>
      </bottom>
      <diagonal/>
    </border>
    <border>
      <left/>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indexed="64"/>
      </left>
      <right style="thin">
        <color theme="0" tint="-0.14990691854609822"/>
      </right>
      <top style="medium">
        <color theme="0" tint="-0.14993743705557422"/>
      </top>
      <bottom style="medium">
        <color theme="0" tint="-0.14993743705557422"/>
      </bottom>
      <diagonal/>
    </border>
    <border>
      <left style="thin">
        <color theme="0" tint="-0.14990691854609822"/>
      </left>
      <right/>
      <top style="medium">
        <color theme="0" tint="-0.14993743705557422"/>
      </top>
      <bottom style="medium">
        <color theme="0" tint="-0.14993743705557422"/>
      </bottom>
      <diagonal/>
    </border>
  </borders>
  <cellStyleXfs count="12">
    <xf numFmtId="0" fontId="0" fillId="0" borderId="0"/>
    <xf numFmtId="0" fontId="3" fillId="0" borderId="0">
      <alignment vertical="top"/>
      <protection locked="0"/>
    </xf>
    <xf numFmtId="9" fontId="7" fillId="0" borderId="0"/>
    <xf numFmtId="0" fontId="14" fillId="0" borderId="0"/>
    <xf numFmtId="0" fontId="11" fillId="0" borderId="0"/>
    <xf numFmtId="0" fontId="8" fillId="0" borderId="0"/>
    <xf numFmtId="0" fontId="8" fillId="0" borderId="0">
      <alignment vertical="top"/>
    </xf>
    <xf numFmtId="0" fontId="7" fillId="0" borderId="0">
      <alignment horizontal="right" indent="1"/>
    </xf>
    <xf numFmtId="167" fontId="7" fillId="0" borderId="3">
      <alignment horizontal="center" vertical="center"/>
    </xf>
    <xf numFmtId="164" fontId="7" fillId="0" borderId="2">
      <alignment horizontal="center" vertical="center"/>
    </xf>
    <xf numFmtId="0" fontId="7" fillId="0" borderId="2">
      <alignment horizontal="center" vertical="center"/>
    </xf>
    <xf numFmtId="0" fontId="7" fillId="0" borderId="2">
      <alignment horizontal="left" vertical="center" indent="2"/>
    </xf>
  </cellStyleXfs>
  <cellXfs count="83">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6" fillId="12" borderId="1" xfId="0" applyFont="1" applyFill="1" applyBorder="1" applyAlignment="1">
      <alignment horizontal="left" vertical="center" indent="1"/>
    </xf>
    <xf numFmtId="0" fontId="6" fillId="12" borderId="1" xfId="0" applyFont="1" applyFill="1" applyBorder="1" applyAlignment="1">
      <alignment horizontal="center" vertical="center" wrapText="1"/>
    </xf>
    <xf numFmtId="0" fontId="10" fillId="11" borderId="7" xfId="0" applyFont="1" applyFill="1" applyBorder="1" applyAlignment="1">
      <alignment horizontal="center" vertical="center" shrinkToFit="1"/>
    </xf>
    <xf numFmtId="0" fontId="12" fillId="0" borderId="0" xfId="0" applyFont="1"/>
    <xf numFmtId="0" fontId="13" fillId="0" borderId="0" xfId="1" applyFont="1" applyAlignment="1" applyProtection="1"/>
    <xf numFmtId="9" fontId="4" fillId="7" borderId="2" xfId="2" applyFont="1" applyFill="1" applyBorder="1" applyAlignment="1">
      <alignment horizontal="center" vertical="center"/>
    </xf>
    <xf numFmtId="9" fontId="4" fillId="2" borderId="2" xfId="2" applyFont="1" applyFill="1" applyBorder="1" applyAlignment="1">
      <alignment horizontal="center" vertical="center"/>
    </xf>
    <xf numFmtId="9" fontId="4" fillId="8" borderId="2" xfId="2" applyFont="1" applyFill="1" applyBorder="1" applyAlignment="1">
      <alignment horizontal="center" vertical="center"/>
    </xf>
    <xf numFmtId="9" fontId="4" fillId="5" borderId="2" xfId="2" applyFont="1" applyFill="1" applyBorder="1" applyAlignment="1">
      <alignment horizontal="center" vertical="center"/>
    </xf>
    <xf numFmtId="9" fontId="4" fillId="4" borderId="2" xfId="2" applyFont="1" applyFill="1" applyBorder="1" applyAlignment="1">
      <alignment horizontal="center" vertical="center"/>
    </xf>
    <xf numFmtId="0" fontId="0" fillId="0" borderId="8" xfId="0" applyBorder="1" applyAlignment="1">
      <alignment vertical="center"/>
    </xf>
    <xf numFmtId="0" fontId="2" fillId="0" borderId="0" xfId="0" applyFont="1" applyAlignment="1">
      <alignment horizontal="center" vertical="center"/>
    </xf>
    <xf numFmtId="0" fontId="14" fillId="0" borderId="0" xfId="3"/>
    <xf numFmtId="0" fontId="14" fillId="0" borderId="0" xfId="3" applyAlignment="1">
      <alignment wrapText="1"/>
    </xf>
    <xf numFmtId="0" fontId="14" fillId="0" borderId="0" xfId="0" applyFont="1" applyAlignment="1">
      <alignment horizontal="center"/>
    </xf>
    <xf numFmtId="0" fontId="0" fillId="0" borderId="0" xfId="0" applyAlignment="1">
      <alignment wrapText="1"/>
    </xf>
    <xf numFmtId="0" fontId="8" fillId="0" borderId="0" xfId="5"/>
    <xf numFmtId="0" fontId="7" fillId="7" borderId="2" xfId="10" applyFill="1">
      <alignment horizontal="center" vertical="center"/>
    </xf>
    <xf numFmtId="0" fontId="7" fillId="8" borderId="2" xfId="10" applyFill="1">
      <alignment horizontal="center" vertical="center"/>
    </xf>
    <xf numFmtId="0" fontId="7" fillId="5" borderId="2" xfId="10" applyFill="1">
      <alignment horizontal="center" vertical="center"/>
    </xf>
    <xf numFmtId="0" fontId="7" fillId="10" borderId="2" xfId="10" applyFill="1">
      <alignment horizontal="center" vertical="center"/>
    </xf>
    <xf numFmtId="0" fontId="7" fillId="4" borderId="2" xfId="10" applyFill="1">
      <alignment horizontal="center" vertical="center"/>
    </xf>
    <xf numFmtId="0" fontId="0" fillId="0" borderId="9" xfId="0" applyBorder="1"/>
    <xf numFmtId="0" fontId="15" fillId="0" borderId="0" xfId="0" applyFont="1"/>
    <xf numFmtId="0" fontId="16" fillId="0" borderId="0" xfId="1" applyFont="1" applyProtection="1">
      <alignment vertical="top"/>
    </xf>
    <xf numFmtId="164" fontId="0" fillId="7" borderId="2" xfId="0" applyNumberFormat="1" applyFill="1" applyBorder="1" applyAlignment="1">
      <alignment horizontal="center" vertical="center"/>
    </xf>
    <xf numFmtId="164" fontId="4" fillId="8" borderId="2" xfId="0" applyNumberFormat="1" applyFont="1" applyFill="1" applyBorder="1" applyAlignment="1">
      <alignment horizontal="center" vertical="center"/>
    </xf>
    <xf numFmtId="164" fontId="4" fillId="5" borderId="2" xfId="0" applyNumberFormat="1" applyFont="1" applyFill="1" applyBorder="1" applyAlignment="1">
      <alignment horizontal="center" vertical="center"/>
    </xf>
    <xf numFmtId="164" fontId="4" fillId="4" borderId="2" xfId="0" applyNumberFormat="1" applyFont="1" applyFill="1" applyBorder="1" applyAlignment="1">
      <alignment horizontal="center" vertical="center"/>
    </xf>
    <xf numFmtId="165" fontId="9" fillId="6" borderId="5" xfId="0" applyNumberFormat="1" applyFont="1" applyFill="1" applyBorder="1" applyAlignment="1">
      <alignment horizontal="center" vertical="center"/>
    </xf>
    <xf numFmtId="165" fontId="9" fillId="6" borderId="0" xfId="0" applyNumberFormat="1" applyFont="1" applyFill="1" applyAlignment="1">
      <alignment horizontal="center" vertical="center"/>
    </xf>
    <xf numFmtId="165" fontId="9" fillId="6" borderId="6" xfId="0" applyNumberFormat="1" applyFont="1" applyFill="1" applyBorder="1" applyAlignment="1">
      <alignment horizontal="center" vertical="center"/>
    </xf>
    <xf numFmtId="0" fontId="8" fillId="0" borderId="0" xfId="0" applyFont="1" applyAlignment="1">
      <alignment vertical="top"/>
    </xf>
    <xf numFmtId="0" fontId="8" fillId="0" borderId="0" xfId="6" applyAlignment="1">
      <alignment vertical="center"/>
    </xf>
    <xf numFmtId="0" fontId="4" fillId="2" borderId="2" xfId="0" applyFont="1" applyFill="1" applyBorder="1" applyAlignment="1">
      <alignment horizontal="center" vertical="center"/>
    </xf>
    <xf numFmtId="0" fontId="0" fillId="2" borderId="8" xfId="0" applyFill="1" applyBorder="1" applyAlignment="1">
      <alignment vertical="center"/>
    </xf>
    <xf numFmtId="0" fontId="0" fillId="2" borderId="8" xfId="0" applyFill="1" applyBorder="1" applyAlignment="1">
      <alignment horizontal="right" vertical="center"/>
    </xf>
    <xf numFmtId="0" fontId="4" fillId="3" borderId="2" xfId="0" applyFont="1" applyFill="1" applyBorder="1" applyAlignment="1">
      <alignment horizontal="center" vertical="center"/>
    </xf>
    <xf numFmtId="0" fontId="0" fillId="3" borderId="8" xfId="0" applyFill="1" applyBorder="1" applyAlignment="1">
      <alignment vertical="center"/>
    </xf>
    <xf numFmtId="0" fontId="0" fillId="3" borderId="8" xfId="0" applyFill="1" applyBorder="1" applyAlignment="1">
      <alignment horizontal="right" vertical="center"/>
    </xf>
    <xf numFmtId="0" fontId="4" fillId="10" borderId="2" xfId="0" applyFont="1" applyFill="1" applyBorder="1" applyAlignment="1">
      <alignment horizontal="center" vertical="center"/>
    </xf>
    <xf numFmtId="0" fontId="0" fillId="10" borderId="8" xfId="0" applyFill="1" applyBorder="1" applyAlignment="1">
      <alignment vertical="center"/>
    </xf>
    <xf numFmtId="0" fontId="4" fillId="9" borderId="2" xfId="0" applyFont="1" applyFill="1" applyBorder="1" applyAlignment="1">
      <alignment horizontal="center" vertical="center"/>
    </xf>
    <xf numFmtId="0" fontId="0" fillId="9" borderId="8" xfId="0" applyFill="1" applyBorder="1" applyAlignment="1">
      <alignment vertical="center"/>
    </xf>
    <xf numFmtId="164" fontId="5" fillId="2" borderId="2" xfId="9" applyFont="1" applyFill="1">
      <alignment horizontal="center" vertical="center"/>
    </xf>
    <xf numFmtId="164" fontId="5" fillId="8" borderId="2" xfId="0" applyNumberFormat="1" applyFont="1" applyFill="1" applyBorder="1" applyAlignment="1">
      <alignment horizontal="center" vertical="center"/>
    </xf>
    <xf numFmtId="164" fontId="15" fillId="8" borderId="2" xfId="0" applyNumberFormat="1" applyFont="1" applyFill="1" applyBorder="1" applyAlignment="1">
      <alignment horizontal="center" vertical="center"/>
    </xf>
    <xf numFmtId="164" fontId="5" fillId="3" borderId="2" xfId="9" applyFont="1" applyFill="1">
      <alignment horizontal="center" vertical="center"/>
    </xf>
    <xf numFmtId="164" fontId="5" fillId="5" borderId="2" xfId="0" applyNumberFormat="1" applyFont="1" applyFill="1" applyBorder="1" applyAlignment="1">
      <alignment horizontal="center" vertical="center"/>
    </xf>
    <xf numFmtId="164" fontId="15" fillId="5" borderId="2" xfId="0" applyNumberFormat="1" applyFont="1" applyFill="1" applyBorder="1" applyAlignment="1">
      <alignment horizontal="center" vertical="center"/>
    </xf>
    <xf numFmtId="164" fontId="5" fillId="10" borderId="2" xfId="9" applyFont="1" applyFill="1">
      <alignment horizontal="center" vertical="center"/>
    </xf>
    <xf numFmtId="164" fontId="5" fillId="4" borderId="2" xfId="0" applyNumberFormat="1" applyFont="1" applyFill="1" applyBorder="1" applyAlignment="1">
      <alignment horizontal="center" vertical="center"/>
    </xf>
    <xf numFmtId="164" fontId="15" fillId="4" borderId="2" xfId="0" applyNumberFormat="1" applyFont="1" applyFill="1" applyBorder="1" applyAlignment="1">
      <alignment horizontal="center" vertical="center"/>
    </xf>
    <xf numFmtId="164" fontId="5" fillId="9" borderId="2" xfId="9" applyFont="1" applyFill="1">
      <alignment horizontal="center" vertical="center"/>
    </xf>
    <xf numFmtId="0" fontId="17" fillId="7" borderId="2" xfId="0" applyFont="1" applyFill="1" applyBorder="1" applyAlignment="1">
      <alignment horizontal="left" vertical="center" indent="1"/>
    </xf>
    <xf numFmtId="0" fontId="18" fillId="2" borderId="2" xfId="11" applyFont="1" applyFill="1">
      <alignment horizontal="left" vertical="center" indent="2"/>
    </xf>
    <xf numFmtId="0" fontId="19" fillId="2" borderId="2" xfId="10" applyFont="1" applyFill="1">
      <alignment horizontal="center" vertical="center"/>
    </xf>
    <xf numFmtId="0" fontId="18" fillId="3" borderId="2" xfId="11" applyFont="1" applyFill="1">
      <alignment horizontal="left" vertical="center" indent="2"/>
    </xf>
    <xf numFmtId="0" fontId="18" fillId="3" borderId="2" xfId="10" applyFont="1" applyFill="1">
      <alignment horizontal="center" vertical="center"/>
    </xf>
    <xf numFmtId="0" fontId="18" fillId="10" borderId="2" xfId="11" applyFont="1" applyFill="1">
      <alignment horizontal="left" vertical="center" indent="2"/>
    </xf>
    <xf numFmtId="0" fontId="18" fillId="9" borderId="2" xfId="11" applyFont="1" applyFill="1">
      <alignment horizontal="left" vertical="center" indent="2"/>
    </xf>
    <xf numFmtId="0" fontId="18" fillId="9" borderId="2" xfId="10" applyFont="1" applyFill="1">
      <alignment horizontal="center" vertical="center"/>
    </xf>
    <xf numFmtId="0" fontId="17" fillId="8" borderId="2" xfId="0" applyFont="1" applyFill="1" applyBorder="1" applyAlignment="1">
      <alignment horizontal="left" vertical="center" indent="1"/>
    </xf>
    <xf numFmtId="0" fontId="17" fillId="5" borderId="2" xfId="0" applyFont="1" applyFill="1" applyBorder="1" applyAlignment="1">
      <alignment horizontal="left" vertical="center" indent="1"/>
    </xf>
    <xf numFmtId="0" fontId="17" fillId="4" borderId="2" xfId="0" applyFont="1" applyFill="1" applyBorder="1" applyAlignment="1">
      <alignment horizontal="left" vertical="center" indent="1"/>
    </xf>
    <xf numFmtId="166" fontId="0" fillId="6" borderId="10" xfId="0" applyNumberFormat="1" applyFill="1" applyBorder="1" applyAlignment="1">
      <alignment horizontal="left" vertical="center" wrapText="1" indent="1"/>
    </xf>
    <xf numFmtId="0" fontId="0" fillId="0" borderId="1" xfId="0" applyBorder="1"/>
    <xf numFmtId="0" fontId="0" fillId="0" borderId="4" xfId="0" applyBorder="1"/>
    <xf numFmtId="0" fontId="7" fillId="0" borderId="6" xfId="7" applyBorder="1">
      <alignment horizontal="right" indent="1"/>
    </xf>
    <xf numFmtId="0" fontId="0" fillId="0" borderId="6" xfId="0" applyBorder="1"/>
    <xf numFmtId="167" fontId="7" fillId="0" borderId="3" xfId="8">
      <alignment horizontal="center" vertical="center"/>
    </xf>
    <xf numFmtId="0" fontId="0" fillId="0" borderId="11" xfId="0" applyBorder="1"/>
    <xf numFmtId="0" fontId="0" fillId="2" borderId="13" xfId="0" applyFill="1" applyBorder="1" applyAlignment="1">
      <alignment vertical="center"/>
    </xf>
    <xf numFmtId="0" fontId="0" fillId="2" borderId="12" xfId="0" applyFill="1" applyBorder="1" applyAlignment="1">
      <alignment vertical="center"/>
    </xf>
    <xf numFmtId="0" fontId="20" fillId="0" borderId="0" xfId="4" applyFont="1" applyAlignment="1">
      <alignment horizontal="left"/>
    </xf>
  </cellXfs>
  <cellStyles count="12">
    <cellStyle name="Encabezado 1" xfId="5" builtinId="16"/>
    <cellStyle name="Fecha" xfId="9" xr:uid="{00000000-0005-0000-0000-00000A000000}"/>
    <cellStyle name="Hipervínculo" xfId="1" builtinId="8"/>
    <cellStyle name="Inicio del proyecto" xfId="8" xr:uid="{00000000-0005-0000-0000-000009000000}"/>
    <cellStyle name="Nombre" xfId="10" xr:uid="{00000000-0005-0000-0000-00000B000000}"/>
    <cellStyle name="Normal" xfId="0" builtinId="0"/>
    <cellStyle name="Porcentaje" xfId="2" builtinId="5"/>
    <cellStyle name="Tarea" xfId="11" xr:uid="{00000000-0005-0000-0000-00000C000000}"/>
    <cellStyle name="Título" xfId="4" builtinId="15"/>
    <cellStyle name="Título 2" xfId="6" builtinId="17"/>
    <cellStyle name="Título 3" xfId="7" builtinId="18"/>
    <cellStyle name="zTextoOculto" xfId="3" xr:uid="{00000000-0005-0000-0000-000003000000}"/>
  </cellStyles>
  <dxfs count="37">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36"/>
      <tableStyleElement type="headerRow" dxfId="35"/>
      <tableStyleElement type="totalRow" dxfId="34"/>
      <tableStyleElement type="firstColumn" dxfId="33"/>
      <tableStyleElement type="lastColumn" dxfId="32"/>
      <tableStyleElement type="firstRowStripe" dxfId="31"/>
      <tableStyleElement type="secondRowStripe" dxfId="30"/>
      <tableStyleElement type="firstColumnStripe" dxfId="29"/>
      <tableStyleElement type="secondColumn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FT34"/>
  <sheetViews>
    <sheetView showGridLines="0" tabSelected="1" showRuler="0" topLeftCell="F1" zoomScale="29" zoomScaleNormal="41" zoomScalePageLayoutView="70" workbookViewId="0">
      <pane ySplit="6" topLeftCell="A7" activePane="bottomLeft" state="frozen"/>
      <selection pane="bottomLeft" activeCell="AE14" sqref="AE14"/>
    </sheetView>
  </sheetViews>
  <sheetFormatPr baseColWidth="10" defaultColWidth="9.1796875" defaultRowHeight="30" customHeight="1" x14ac:dyDescent="0.35"/>
  <cols>
    <col min="1" max="1" width="2.7265625" style="20" customWidth="1"/>
    <col min="2" max="2" width="96.36328125" customWidth="1"/>
    <col min="3" max="3" width="30.7265625" customWidth="1"/>
    <col min="4" max="4" width="10.7265625" customWidth="1"/>
    <col min="5" max="5" width="11" style="5" customWidth="1"/>
    <col min="6" max="6" width="19.7265625" customWidth="1"/>
    <col min="7" max="7" width="2.7265625" customWidth="1"/>
    <col min="8" max="8" width="9.453125" hidden="1" customWidth="1"/>
    <col min="9" max="49" width="3.26953125" customWidth="1"/>
    <col min="50" max="50" width="4.36328125" customWidth="1"/>
    <col min="51" max="56" width="3.26953125" customWidth="1"/>
    <col min="57" max="57" width="4.36328125" customWidth="1"/>
    <col min="58" max="63" width="3.26953125" customWidth="1"/>
    <col min="64" max="64" width="4.7265625" customWidth="1"/>
    <col min="65" max="99" width="3.26953125" customWidth="1"/>
    <col min="100" max="100" width="3.54296875" customWidth="1"/>
    <col min="101" max="103" width="4.08984375" customWidth="1"/>
    <col min="104" max="104" width="2.453125" bestFit="1" customWidth="1"/>
    <col min="105" max="105" width="2.6328125" bestFit="1" customWidth="1"/>
    <col min="106" max="106" width="5" customWidth="1"/>
    <col min="107" max="111" width="2.6328125" bestFit="1" customWidth="1"/>
    <col min="112" max="112" width="6" customWidth="1"/>
    <col min="113" max="113" width="5" customWidth="1"/>
    <col min="114" max="118" width="2.6328125" bestFit="1" customWidth="1"/>
    <col min="119" max="119" width="6" customWidth="1"/>
    <col min="120" max="120" width="5" customWidth="1"/>
    <col min="121" max="125" width="2.6328125" bestFit="1" customWidth="1"/>
    <col min="126" max="126" width="6" customWidth="1"/>
    <col min="127" max="127" width="5" customWidth="1"/>
    <col min="128" max="132" width="2.6328125" bestFit="1" customWidth="1"/>
    <col min="133" max="133" width="6" customWidth="1"/>
    <col min="134" max="134" width="5" customWidth="1"/>
    <col min="135" max="139" width="2.6328125" bestFit="1" customWidth="1"/>
    <col min="140" max="140" width="2.81640625" bestFit="1" customWidth="1"/>
    <col min="141" max="141" width="4.1796875" customWidth="1"/>
    <col min="142" max="142" width="2.6328125" bestFit="1" customWidth="1"/>
    <col min="143" max="143" width="2.81640625" bestFit="1" customWidth="1"/>
    <col min="144" max="144" width="3.08984375" bestFit="1" customWidth="1"/>
    <col min="145" max="145" width="2.81640625" bestFit="1" customWidth="1"/>
    <col min="146" max="148" width="3.08984375" bestFit="1" customWidth="1"/>
    <col min="149" max="153" width="2.6328125" bestFit="1" customWidth="1"/>
    <col min="154" max="154" width="6" customWidth="1"/>
    <col min="155" max="155" width="5" customWidth="1"/>
    <col min="156" max="160" width="2.6328125" bestFit="1" customWidth="1"/>
    <col min="161" max="161" width="6" customWidth="1"/>
    <col min="162" max="162" width="5" customWidth="1"/>
    <col min="163" max="167" width="2.6328125" bestFit="1" customWidth="1"/>
    <col min="168" max="168" width="6" customWidth="1"/>
    <col min="169" max="169" width="5" customWidth="1"/>
    <col min="170" max="174" width="2.6328125" bestFit="1" customWidth="1"/>
    <col min="175" max="175" width="6" customWidth="1"/>
    <col min="176" max="176" width="5" customWidth="1"/>
  </cols>
  <sheetData>
    <row r="1" spans="1:176" ht="30" customHeight="1" x14ac:dyDescent="0.6">
      <c r="A1" s="21" t="s">
        <v>0</v>
      </c>
      <c r="B1" s="82" t="s">
        <v>1</v>
      </c>
      <c r="C1" s="1"/>
      <c r="D1" s="2"/>
      <c r="E1" s="4"/>
      <c r="F1" s="19"/>
      <c r="H1" s="2"/>
      <c r="I1" s="31"/>
    </row>
    <row r="2" spans="1:176" ht="30" customHeight="1" x14ac:dyDescent="0.45">
      <c r="A2" s="20" t="s">
        <v>2</v>
      </c>
      <c r="B2" s="24" t="s">
        <v>3</v>
      </c>
      <c r="I2" s="32"/>
    </row>
    <row r="3" spans="1:176" ht="30" customHeight="1" x14ac:dyDescent="0.35">
      <c r="A3" s="20" t="s">
        <v>4</v>
      </c>
      <c r="B3" s="41" t="s">
        <v>5</v>
      </c>
      <c r="C3" s="76" t="s">
        <v>6</v>
      </c>
      <c r="D3" s="77"/>
      <c r="E3" s="78">
        <v>46029</v>
      </c>
      <c r="F3" s="79"/>
    </row>
    <row r="4" spans="1:176" ht="30" customHeight="1" x14ac:dyDescent="0.35">
      <c r="A4" s="21" t="s">
        <v>7</v>
      </c>
      <c r="B4" s="40" t="s">
        <v>8</v>
      </c>
      <c r="C4" s="76" t="s">
        <v>9</v>
      </c>
      <c r="D4" s="77"/>
      <c r="E4" s="7">
        <v>1</v>
      </c>
      <c r="I4" s="73">
        <f>I5</f>
        <v>46027</v>
      </c>
      <c r="J4" s="74"/>
      <c r="K4" s="74"/>
      <c r="L4" s="74"/>
      <c r="M4" s="74"/>
      <c r="N4" s="74"/>
      <c r="O4" s="75"/>
      <c r="P4" s="73">
        <f>P5</f>
        <v>46034</v>
      </c>
      <c r="Q4" s="74"/>
      <c r="R4" s="74"/>
      <c r="S4" s="74"/>
      <c r="T4" s="74"/>
      <c r="U4" s="74"/>
      <c r="V4" s="75"/>
      <c r="W4" s="73">
        <f>W5</f>
        <v>46041</v>
      </c>
      <c r="X4" s="74"/>
      <c r="Y4" s="74"/>
      <c r="Z4" s="74"/>
      <c r="AA4" s="74"/>
      <c r="AB4" s="74"/>
      <c r="AC4" s="75"/>
      <c r="AD4" s="73">
        <f>AD5</f>
        <v>46048</v>
      </c>
      <c r="AE4" s="74"/>
      <c r="AF4" s="74"/>
      <c r="AG4" s="74"/>
      <c r="AH4" s="74"/>
      <c r="AI4" s="74"/>
      <c r="AJ4" s="75"/>
      <c r="AK4" s="73">
        <f>AK5</f>
        <v>46055</v>
      </c>
      <c r="AL4" s="74"/>
      <c r="AM4" s="74"/>
      <c r="AN4" s="74"/>
      <c r="AO4" s="74"/>
      <c r="AP4" s="74"/>
      <c r="AQ4" s="75"/>
      <c r="AR4" s="73">
        <f>AR5</f>
        <v>46062</v>
      </c>
      <c r="AS4" s="74"/>
      <c r="AT4" s="74"/>
      <c r="AU4" s="74"/>
      <c r="AV4" s="74"/>
      <c r="AW4" s="74"/>
      <c r="AX4" s="75"/>
      <c r="AY4" s="73">
        <f>AY5</f>
        <v>46069</v>
      </c>
      <c r="AZ4" s="74"/>
      <c r="BA4" s="74"/>
      <c r="BB4" s="74"/>
      <c r="BC4" s="74"/>
      <c r="BD4" s="74"/>
      <c r="BE4" s="75"/>
      <c r="BF4" s="73">
        <f>BF5</f>
        <v>46076</v>
      </c>
      <c r="BG4" s="74"/>
      <c r="BH4" s="74"/>
      <c r="BI4" s="74"/>
      <c r="BJ4" s="74"/>
      <c r="BK4" s="74"/>
      <c r="BL4" s="75"/>
      <c r="BM4" s="73">
        <f>BM5</f>
        <v>46083</v>
      </c>
      <c r="BN4" s="74"/>
      <c r="BO4" s="74"/>
      <c r="BP4" s="74"/>
      <c r="BQ4" s="74"/>
      <c r="BR4" s="74"/>
      <c r="BS4" s="75"/>
      <c r="BT4" s="73">
        <f>BT5</f>
        <v>46090</v>
      </c>
      <c r="BU4" s="74"/>
      <c r="BV4" s="74"/>
      <c r="BW4" s="74"/>
      <c r="BX4" s="74"/>
      <c r="BY4" s="74"/>
      <c r="BZ4" s="75"/>
      <c r="CA4" s="73">
        <f>CA5</f>
        <v>46097</v>
      </c>
      <c r="CB4" s="74"/>
      <c r="CC4" s="74"/>
      <c r="CD4" s="74"/>
      <c r="CE4" s="74"/>
      <c r="CF4" s="74"/>
      <c r="CG4" s="75"/>
      <c r="CH4" s="73">
        <f>CH5</f>
        <v>46104</v>
      </c>
      <c r="CI4" s="74"/>
      <c r="CJ4" s="74"/>
      <c r="CK4" s="74"/>
      <c r="CL4" s="74"/>
      <c r="CM4" s="74"/>
      <c r="CN4" s="75"/>
      <c r="CO4" s="73">
        <f>CH4+7</f>
        <v>46111</v>
      </c>
      <c r="CP4" s="74"/>
      <c r="CQ4" s="74"/>
      <c r="CR4" s="74"/>
      <c r="CS4" s="74"/>
      <c r="CT4" s="74"/>
      <c r="CU4" s="75"/>
      <c r="CV4" s="73">
        <f>CO4+7</f>
        <v>46118</v>
      </c>
      <c r="CW4" s="74"/>
      <c r="CX4" s="74"/>
      <c r="CY4" s="74"/>
      <c r="CZ4" s="74"/>
      <c r="DA4" s="74"/>
      <c r="DB4" s="75"/>
      <c r="DC4" s="73">
        <f>CV4+7</f>
        <v>46125</v>
      </c>
      <c r="DD4" s="74"/>
      <c r="DE4" s="74"/>
      <c r="DF4" s="74"/>
      <c r="DG4" s="74"/>
      <c r="DH4" s="74"/>
      <c r="DI4" s="75"/>
      <c r="DJ4" s="73">
        <f>DC4+7</f>
        <v>46132</v>
      </c>
      <c r="DK4" s="74"/>
      <c r="DL4" s="74"/>
      <c r="DM4" s="74"/>
      <c r="DN4" s="74"/>
      <c r="DO4" s="74"/>
      <c r="DP4" s="75"/>
      <c r="DQ4" s="73">
        <f t="shared" ref="DQ4" si="0">DJ4+7</f>
        <v>46139</v>
      </c>
      <c r="DR4" s="74"/>
      <c r="DS4" s="74"/>
      <c r="DT4" s="74"/>
      <c r="DU4" s="74"/>
      <c r="DV4" s="74"/>
      <c r="DW4" s="75"/>
      <c r="DX4" s="73">
        <f t="shared" ref="DX4" si="1">DQ4+7</f>
        <v>46146</v>
      </c>
      <c r="DY4" s="74"/>
      <c r="DZ4" s="74"/>
      <c r="EA4" s="74"/>
      <c r="EB4" s="74"/>
      <c r="EC4" s="74"/>
      <c r="ED4" s="75"/>
      <c r="EE4" s="73">
        <f t="shared" ref="EE4" si="2">DX4+7</f>
        <v>46153</v>
      </c>
      <c r="EF4" s="74"/>
      <c r="EG4" s="74"/>
      <c r="EH4" s="74"/>
      <c r="EI4" s="74"/>
      <c r="EJ4" s="74"/>
      <c r="EK4" s="75"/>
      <c r="EL4" s="73">
        <f t="shared" ref="EL4" si="3">EE4+7</f>
        <v>46160</v>
      </c>
      <c r="EM4" s="74"/>
      <c r="EN4" s="74"/>
      <c r="EO4" s="74"/>
      <c r="EP4" s="74"/>
      <c r="EQ4" s="74"/>
      <c r="ER4" s="75"/>
      <c r="ES4" s="73">
        <f t="shared" ref="ES4" si="4">EL4+7</f>
        <v>46167</v>
      </c>
      <c r="ET4" s="74"/>
      <c r="EU4" s="74"/>
      <c r="EV4" s="74"/>
      <c r="EW4" s="74"/>
      <c r="EX4" s="74"/>
      <c r="EY4" s="75"/>
      <c r="EZ4" s="73">
        <f t="shared" ref="EZ4" si="5">ES4+7</f>
        <v>46174</v>
      </c>
      <c r="FA4" s="74"/>
      <c r="FB4" s="74"/>
      <c r="FC4" s="74"/>
      <c r="FD4" s="74"/>
      <c r="FE4" s="74"/>
      <c r="FF4" s="75"/>
      <c r="FG4" s="73">
        <f t="shared" ref="FG4" si="6">EZ4+7</f>
        <v>46181</v>
      </c>
      <c r="FH4" s="74"/>
      <c r="FI4" s="74"/>
      <c r="FJ4" s="74"/>
      <c r="FK4" s="74"/>
      <c r="FL4" s="74"/>
      <c r="FM4" s="75"/>
      <c r="FN4" s="73">
        <f t="shared" ref="FN4" si="7">FG4+7</f>
        <v>46188</v>
      </c>
      <c r="FO4" s="74"/>
      <c r="FP4" s="74"/>
      <c r="FQ4" s="74"/>
      <c r="FR4" s="74"/>
      <c r="FS4" s="74"/>
      <c r="FT4" s="75"/>
    </row>
    <row r="5" spans="1:176" ht="15" customHeight="1" x14ac:dyDescent="0.35">
      <c r="A5" s="21" t="s">
        <v>10</v>
      </c>
      <c r="B5" s="30"/>
      <c r="C5" s="30"/>
      <c r="D5" s="30"/>
      <c r="E5" s="30"/>
      <c r="F5" s="30"/>
      <c r="G5" s="30"/>
      <c r="I5" s="37">
        <f>Inicio_del_proyecto-WEEKDAY(Inicio_del_proyecto,1)+2+7*(Semana_para_mostrar-1)</f>
        <v>46027</v>
      </c>
      <c r="J5" s="38">
        <f t="shared" ref="J5:AO5" si="8">I5+1</f>
        <v>46028</v>
      </c>
      <c r="K5" s="38">
        <f t="shared" si="8"/>
        <v>46029</v>
      </c>
      <c r="L5" s="38">
        <f t="shared" si="8"/>
        <v>46030</v>
      </c>
      <c r="M5" s="38">
        <f t="shared" si="8"/>
        <v>46031</v>
      </c>
      <c r="N5" s="38">
        <f t="shared" si="8"/>
        <v>46032</v>
      </c>
      <c r="O5" s="39">
        <f t="shared" si="8"/>
        <v>46033</v>
      </c>
      <c r="P5" s="37">
        <f t="shared" si="8"/>
        <v>46034</v>
      </c>
      <c r="Q5" s="38">
        <f t="shared" si="8"/>
        <v>46035</v>
      </c>
      <c r="R5" s="38">
        <f t="shared" si="8"/>
        <v>46036</v>
      </c>
      <c r="S5" s="38">
        <f t="shared" si="8"/>
        <v>46037</v>
      </c>
      <c r="T5" s="38">
        <f t="shared" si="8"/>
        <v>46038</v>
      </c>
      <c r="U5" s="38">
        <f t="shared" si="8"/>
        <v>46039</v>
      </c>
      <c r="V5" s="39">
        <f t="shared" si="8"/>
        <v>46040</v>
      </c>
      <c r="W5" s="37">
        <f t="shared" si="8"/>
        <v>46041</v>
      </c>
      <c r="X5" s="38">
        <f t="shared" si="8"/>
        <v>46042</v>
      </c>
      <c r="Y5" s="38">
        <f t="shared" si="8"/>
        <v>46043</v>
      </c>
      <c r="Z5" s="38">
        <f t="shared" si="8"/>
        <v>46044</v>
      </c>
      <c r="AA5" s="38">
        <f t="shared" si="8"/>
        <v>46045</v>
      </c>
      <c r="AB5" s="38">
        <f t="shared" si="8"/>
        <v>46046</v>
      </c>
      <c r="AC5" s="39">
        <f t="shared" si="8"/>
        <v>46047</v>
      </c>
      <c r="AD5" s="37">
        <f t="shared" si="8"/>
        <v>46048</v>
      </c>
      <c r="AE5" s="38">
        <f t="shared" si="8"/>
        <v>46049</v>
      </c>
      <c r="AF5" s="38">
        <f t="shared" si="8"/>
        <v>46050</v>
      </c>
      <c r="AG5" s="38">
        <f t="shared" si="8"/>
        <v>46051</v>
      </c>
      <c r="AH5" s="38">
        <f t="shared" si="8"/>
        <v>46052</v>
      </c>
      <c r="AI5" s="38">
        <f t="shared" si="8"/>
        <v>46053</v>
      </c>
      <c r="AJ5" s="39">
        <f t="shared" si="8"/>
        <v>46054</v>
      </c>
      <c r="AK5" s="37">
        <f t="shared" si="8"/>
        <v>46055</v>
      </c>
      <c r="AL5" s="38">
        <f t="shared" si="8"/>
        <v>46056</v>
      </c>
      <c r="AM5" s="38">
        <f t="shared" si="8"/>
        <v>46057</v>
      </c>
      <c r="AN5" s="38">
        <f t="shared" si="8"/>
        <v>46058</v>
      </c>
      <c r="AO5" s="38">
        <f t="shared" si="8"/>
        <v>46059</v>
      </c>
      <c r="AP5" s="38">
        <f t="shared" ref="AP5:BU5" si="9">AO5+1</f>
        <v>46060</v>
      </c>
      <c r="AQ5" s="39">
        <f t="shared" si="9"/>
        <v>46061</v>
      </c>
      <c r="AR5" s="37">
        <f t="shared" si="9"/>
        <v>46062</v>
      </c>
      <c r="AS5" s="38">
        <f t="shared" si="9"/>
        <v>46063</v>
      </c>
      <c r="AT5" s="38">
        <f t="shared" si="9"/>
        <v>46064</v>
      </c>
      <c r="AU5" s="38">
        <f t="shared" si="9"/>
        <v>46065</v>
      </c>
      <c r="AV5" s="38">
        <f t="shared" si="9"/>
        <v>46066</v>
      </c>
      <c r="AW5" s="38">
        <f t="shared" si="9"/>
        <v>46067</v>
      </c>
      <c r="AX5" s="39">
        <f t="shared" si="9"/>
        <v>46068</v>
      </c>
      <c r="AY5" s="37">
        <f t="shared" si="9"/>
        <v>46069</v>
      </c>
      <c r="AZ5" s="38">
        <f t="shared" si="9"/>
        <v>46070</v>
      </c>
      <c r="BA5" s="38">
        <f t="shared" si="9"/>
        <v>46071</v>
      </c>
      <c r="BB5" s="38">
        <f t="shared" si="9"/>
        <v>46072</v>
      </c>
      <c r="BC5" s="38">
        <f t="shared" si="9"/>
        <v>46073</v>
      </c>
      <c r="BD5" s="38">
        <f t="shared" si="9"/>
        <v>46074</v>
      </c>
      <c r="BE5" s="39">
        <f t="shared" si="9"/>
        <v>46075</v>
      </c>
      <c r="BF5" s="37">
        <f t="shared" si="9"/>
        <v>46076</v>
      </c>
      <c r="BG5" s="38">
        <f t="shared" si="9"/>
        <v>46077</v>
      </c>
      <c r="BH5" s="38">
        <f t="shared" si="9"/>
        <v>46078</v>
      </c>
      <c r="BI5" s="38">
        <f t="shared" si="9"/>
        <v>46079</v>
      </c>
      <c r="BJ5" s="38">
        <f t="shared" si="9"/>
        <v>46080</v>
      </c>
      <c r="BK5" s="38">
        <f t="shared" si="9"/>
        <v>46081</v>
      </c>
      <c r="BL5" s="39">
        <f t="shared" si="9"/>
        <v>46082</v>
      </c>
      <c r="BM5" s="37">
        <f t="shared" si="9"/>
        <v>46083</v>
      </c>
      <c r="BN5" s="37">
        <f t="shared" si="9"/>
        <v>46084</v>
      </c>
      <c r="BO5" s="37">
        <f t="shared" si="9"/>
        <v>46085</v>
      </c>
      <c r="BP5" s="37">
        <f t="shared" si="9"/>
        <v>46086</v>
      </c>
      <c r="BQ5" s="37">
        <f t="shared" si="9"/>
        <v>46087</v>
      </c>
      <c r="BR5" s="37">
        <f t="shared" si="9"/>
        <v>46088</v>
      </c>
      <c r="BS5" s="37">
        <f t="shared" si="9"/>
        <v>46089</v>
      </c>
      <c r="BT5" s="37">
        <f t="shared" si="9"/>
        <v>46090</v>
      </c>
      <c r="BU5" s="37">
        <f t="shared" si="9"/>
        <v>46091</v>
      </c>
      <c r="BV5" s="37">
        <f t="shared" ref="BV5:DA5" si="10">BU5+1</f>
        <v>46092</v>
      </c>
      <c r="BW5" s="37">
        <f t="shared" si="10"/>
        <v>46093</v>
      </c>
      <c r="BX5" s="37">
        <f t="shared" si="10"/>
        <v>46094</v>
      </c>
      <c r="BY5" s="37">
        <f t="shared" si="10"/>
        <v>46095</v>
      </c>
      <c r="BZ5" s="37">
        <f t="shared" si="10"/>
        <v>46096</v>
      </c>
      <c r="CA5" s="37">
        <f t="shared" si="10"/>
        <v>46097</v>
      </c>
      <c r="CB5" s="37">
        <f t="shared" si="10"/>
        <v>46098</v>
      </c>
      <c r="CC5" s="37">
        <f t="shared" si="10"/>
        <v>46099</v>
      </c>
      <c r="CD5" s="37">
        <f t="shared" si="10"/>
        <v>46100</v>
      </c>
      <c r="CE5" s="37">
        <f t="shared" si="10"/>
        <v>46101</v>
      </c>
      <c r="CF5" s="37">
        <f t="shared" si="10"/>
        <v>46102</v>
      </c>
      <c r="CG5" s="37">
        <f t="shared" si="10"/>
        <v>46103</v>
      </c>
      <c r="CH5" s="37">
        <f t="shared" si="10"/>
        <v>46104</v>
      </c>
      <c r="CI5" s="37">
        <f t="shared" si="10"/>
        <v>46105</v>
      </c>
      <c r="CJ5" s="37">
        <f t="shared" si="10"/>
        <v>46106</v>
      </c>
      <c r="CK5" s="37">
        <f t="shared" si="10"/>
        <v>46107</v>
      </c>
      <c r="CL5" s="37">
        <f t="shared" si="10"/>
        <v>46108</v>
      </c>
      <c r="CM5" s="37">
        <f t="shared" si="10"/>
        <v>46109</v>
      </c>
      <c r="CN5" s="37">
        <f t="shared" si="10"/>
        <v>46110</v>
      </c>
      <c r="CO5" s="37">
        <f t="shared" si="10"/>
        <v>46111</v>
      </c>
      <c r="CP5" s="37">
        <f t="shared" si="10"/>
        <v>46112</v>
      </c>
      <c r="CQ5" s="37">
        <f t="shared" si="10"/>
        <v>46113</v>
      </c>
      <c r="CR5" s="37">
        <f t="shared" si="10"/>
        <v>46114</v>
      </c>
      <c r="CS5" s="37">
        <f t="shared" si="10"/>
        <v>46115</v>
      </c>
      <c r="CT5" s="37">
        <f t="shared" si="10"/>
        <v>46116</v>
      </c>
      <c r="CU5" s="37">
        <f t="shared" si="10"/>
        <v>46117</v>
      </c>
      <c r="CV5" s="37">
        <f t="shared" si="10"/>
        <v>46118</v>
      </c>
      <c r="CW5" s="37">
        <f t="shared" si="10"/>
        <v>46119</v>
      </c>
      <c r="CX5" s="37">
        <f t="shared" si="10"/>
        <v>46120</v>
      </c>
      <c r="CY5" s="37">
        <f t="shared" si="10"/>
        <v>46121</v>
      </c>
      <c r="CZ5" s="37">
        <f t="shared" si="10"/>
        <v>46122</v>
      </c>
      <c r="DA5" s="37">
        <f t="shared" si="10"/>
        <v>46123</v>
      </c>
      <c r="DB5" s="37">
        <f t="shared" ref="DB5:FN5" si="11">DA5+1</f>
        <v>46124</v>
      </c>
      <c r="DC5" s="37">
        <f t="shared" si="11"/>
        <v>46125</v>
      </c>
      <c r="DD5" s="37">
        <f t="shared" si="11"/>
        <v>46126</v>
      </c>
      <c r="DE5" s="37">
        <f t="shared" si="11"/>
        <v>46127</v>
      </c>
      <c r="DF5" s="37">
        <f t="shared" si="11"/>
        <v>46128</v>
      </c>
      <c r="DG5" s="37">
        <f t="shared" si="11"/>
        <v>46129</v>
      </c>
      <c r="DH5" s="37">
        <f t="shared" si="11"/>
        <v>46130</v>
      </c>
      <c r="DI5" s="37">
        <f t="shared" si="11"/>
        <v>46131</v>
      </c>
      <c r="DJ5" s="37">
        <f t="shared" si="11"/>
        <v>46132</v>
      </c>
      <c r="DK5" s="37">
        <f t="shared" si="11"/>
        <v>46133</v>
      </c>
      <c r="DL5" s="37">
        <f t="shared" si="11"/>
        <v>46134</v>
      </c>
      <c r="DM5" s="37">
        <f t="shared" si="11"/>
        <v>46135</v>
      </c>
      <c r="DN5" s="37">
        <f t="shared" si="11"/>
        <v>46136</v>
      </c>
      <c r="DO5" s="37">
        <f t="shared" si="11"/>
        <v>46137</v>
      </c>
      <c r="DP5" s="37">
        <f t="shared" si="11"/>
        <v>46138</v>
      </c>
      <c r="DQ5" s="37">
        <f t="shared" si="11"/>
        <v>46139</v>
      </c>
      <c r="DR5" s="37">
        <f t="shared" si="11"/>
        <v>46140</v>
      </c>
      <c r="DS5" s="37">
        <f t="shared" si="11"/>
        <v>46141</v>
      </c>
      <c r="DT5" s="37">
        <f t="shared" si="11"/>
        <v>46142</v>
      </c>
      <c r="DU5" s="37">
        <f t="shared" si="11"/>
        <v>46143</v>
      </c>
      <c r="DV5" s="37">
        <f t="shared" si="11"/>
        <v>46144</v>
      </c>
      <c r="DW5" s="37">
        <f t="shared" si="11"/>
        <v>46145</v>
      </c>
      <c r="DX5" s="37">
        <f t="shared" si="11"/>
        <v>46146</v>
      </c>
      <c r="DY5" s="37">
        <f t="shared" si="11"/>
        <v>46147</v>
      </c>
      <c r="DZ5" s="37">
        <f t="shared" si="11"/>
        <v>46148</v>
      </c>
      <c r="EA5" s="37">
        <f t="shared" si="11"/>
        <v>46149</v>
      </c>
      <c r="EB5" s="37">
        <f t="shared" si="11"/>
        <v>46150</v>
      </c>
      <c r="EC5" s="37">
        <f t="shared" si="11"/>
        <v>46151</v>
      </c>
      <c r="ED5" s="37">
        <f t="shared" si="11"/>
        <v>46152</v>
      </c>
      <c r="EE5" s="37">
        <f t="shared" si="11"/>
        <v>46153</v>
      </c>
      <c r="EF5" s="37">
        <f t="shared" si="11"/>
        <v>46154</v>
      </c>
      <c r="EG5" s="37">
        <f t="shared" si="11"/>
        <v>46155</v>
      </c>
      <c r="EH5" s="37">
        <f t="shared" si="11"/>
        <v>46156</v>
      </c>
      <c r="EI5" s="37">
        <f t="shared" si="11"/>
        <v>46157</v>
      </c>
      <c r="EJ5" s="37">
        <f t="shared" si="11"/>
        <v>46158</v>
      </c>
      <c r="EK5" s="37">
        <f t="shared" si="11"/>
        <v>46159</v>
      </c>
      <c r="EL5" s="37">
        <f t="shared" si="11"/>
        <v>46160</v>
      </c>
      <c r="EM5" s="37">
        <f t="shared" si="11"/>
        <v>46161</v>
      </c>
      <c r="EN5" s="37">
        <f t="shared" si="11"/>
        <v>46162</v>
      </c>
      <c r="EO5" s="37">
        <f t="shared" si="11"/>
        <v>46163</v>
      </c>
      <c r="EP5" s="37">
        <f t="shared" si="11"/>
        <v>46164</v>
      </c>
      <c r="EQ5" s="37">
        <f t="shared" si="11"/>
        <v>46165</v>
      </c>
      <c r="ER5" s="37">
        <f t="shared" si="11"/>
        <v>46166</v>
      </c>
      <c r="ES5" s="37">
        <f t="shared" si="11"/>
        <v>46167</v>
      </c>
      <c r="ET5" s="37">
        <f t="shared" si="11"/>
        <v>46168</v>
      </c>
      <c r="EU5" s="37">
        <f t="shared" si="11"/>
        <v>46169</v>
      </c>
      <c r="EV5" s="37">
        <f t="shared" si="11"/>
        <v>46170</v>
      </c>
      <c r="EW5" s="37">
        <f t="shared" si="11"/>
        <v>46171</v>
      </c>
      <c r="EX5" s="37">
        <f t="shared" si="11"/>
        <v>46172</v>
      </c>
      <c r="EY5" s="37">
        <f t="shared" si="11"/>
        <v>46173</v>
      </c>
      <c r="EZ5" s="37">
        <f t="shared" si="11"/>
        <v>46174</v>
      </c>
      <c r="FA5" s="37">
        <f t="shared" si="11"/>
        <v>46175</v>
      </c>
      <c r="FB5" s="37">
        <f t="shared" si="11"/>
        <v>46176</v>
      </c>
      <c r="FC5" s="37">
        <f t="shared" si="11"/>
        <v>46177</v>
      </c>
      <c r="FD5" s="37">
        <f t="shared" si="11"/>
        <v>46178</v>
      </c>
      <c r="FE5" s="37">
        <f t="shared" si="11"/>
        <v>46179</v>
      </c>
      <c r="FF5" s="37">
        <f t="shared" si="11"/>
        <v>46180</v>
      </c>
      <c r="FG5" s="37">
        <f t="shared" si="11"/>
        <v>46181</v>
      </c>
      <c r="FH5" s="37">
        <f t="shared" si="11"/>
        <v>46182</v>
      </c>
      <c r="FI5" s="37">
        <f t="shared" si="11"/>
        <v>46183</v>
      </c>
      <c r="FJ5" s="37">
        <f t="shared" si="11"/>
        <v>46184</v>
      </c>
      <c r="FK5" s="37">
        <f t="shared" si="11"/>
        <v>46185</v>
      </c>
      <c r="FL5" s="37">
        <f t="shared" si="11"/>
        <v>46186</v>
      </c>
      <c r="FM5" s="37">
        <f t="shared" si="11"/>
        <v>46187</v>
      </c>
      <c r="FN5" s="37">
        <f t="shared" si="11"/>
        <v>46188</v>
      </c>
      <c r="FO5" s="37">
        <f t="shared" ref="FO5:GA5" si="12">FN5+1</f>
        <v>46189</v>
      </c>
      <c r="FP5" s="37">
        <f t="shared" si="12"/>
        <v>46190</v>
      </c>
      <c r="FQ5" s="37">
        <f t="shared" si="12"/>
        <v>46191</v>
      </c>
      <c r="FR5" s="37">
        <f t="shared" si="12"/>
        <v>46192</v>
      </c>
      <c r="FS5" s="37">
        <f t="shared" si="12"/>
        <v>46193</v>
      </c>
      <c r="FT5" s="37">
        <f t="shared" si="12"/>
        <v>46194</v>
      </c>
    </row>
    <row r="6" spans="1:176" ht="30" customHeight="1" thickBot="1" x14ac:dyDescent="0.4">
      <c r="A6" s="21" t="s">
        <v>11</v>
      </c>
      <c r="B6" s="8" t="s">
        <v>12</v>
      </c>
      <c r="C6" s="9"/>
      <c r="D6" s="9" t="s">
        <v>13</v>
      </c>
      <c r="E6" s="9" t="s">
        <v>14</v>
      </c>
      <c r="F6" s="9" t="s">
        <v>15</v>
      </c>
      <c r="G6" s="9"/>
      <c r="H6" s="9" t="s">
        <v>16</v>
      </c>
      <c r="I6" s="10" t="str">
        <f t="shared" ref="I6:AN6" si="13">LEFT(TEXT(I5,"ddd"),1)</f>
        <v>l</v>
      </c>
      <c r="J6" s="10" t="str">
        <f t="shared" si="13"/>
        <v>m</v>
      </c>
      <c r="K6" s="10" t="str">
        <f t="shared" si="13"/>
        <v>m</v>
      </c>
      <c r="L6" s="10" t="str">
        <f t="shared" si="13"/>
        <v>j</v>
      </c>
      <c r="M6" s="10" t="str">
        <f t="shared" si="13"/>
        <v>v</v>
      </c>
      <c r="N6" s="10" t="str">
        <f t="shared" si="13"/>
        <v>s</v>
      </c>
      <c r="O6" s="10" t="str">
        <f t="shared" si="13"/>
        <v>d</v>
      </c>
      <c r="P6" s="10" t="str">
        <f t="shared" si="13"/>
        <v>l</v>
      </c>
      <c r="Q6" s="10" t="str">
        <f t="shared" si="13"/>
        <v>m</v>
      </c>
      <c r="R6" s="10" t="str">
        <f t="shared" si="13"/>
        <v>m</v>
      </c>
      <c r="S6" s="10" t="str">
        <f t="shared" si="13"/>
        <v>j</v>
      </c>
      <c r="T6" s="10" t="str">
        <f t="shared" si="13"/>
        <v>v</v>
      </c>
      <c r="U6" s="10" t="str">
        <f t="shared" si="13"/>
        <v>s</v>
      </c>
      <c r="V6" s="10" t="str">
        <f t="shared" si="13"/>
        <v>d</v>
      </c>
      <c r="W6" s="10" t="str">
        <f t="shared" si="13"/>
        <v>l</v>
      </c>
      <c r="X6" s="10" t="str">
        <f t="shared" si="13"/>
        <v>m</v>
      </c>
      <c r="Y6" s="10" t="str">
        <f t="shared" si="13"/>
        <v>m</v>
      </c>
      <c r="Z6" s="10" t="str">
        <f t="shared" si="13"/>
        <v>j</v>
      </c>
      <c r="AA6" s="10" t="str">
        <f t="shared" si="13"/>
        <v>v</v>
      </c>
      <c r="AB6" s="10" t="str">
        <f t="shared" si="13"/>
        <v>s</v>
      </c>
      <c r="AC6" s="10" t="str">
        <f t="shared" si="13"/>
        <v>d</v>
      </c>
      <c r="AD6" s="10" t="str">
        <f t="shared" si="13"/>
        <v>l</v>
      </c>
      <c r="AE6" s="10" t="str">
        <f t="shared" si="13"/>
        <v>m</v>
      </c>
      <c r="AF6" s="10" t="str">
        <f t="shared" si="13"/>
        <v>m</v>
      </c>
      <c r="AG6" s="10" t="str">
        <f t="shared" si="13"/>
        <v>j</v>
      </c>
      <c r="AH6" s="10" t="str">
        <f t="shared" si="13"/>
        <v>v</v>
      </c>
      <c r="AI6" s="10" t="str">
        <f t="shared" si="13"/>
        <v>s</v>
      </c>
      <c r="AJ6" s="10" t="str">
        <f t="shared" si="13"/>
        <v>d</v>
      </c>
      <c r="AK6" s="10" t="str">
        <f t="shared" si="13"/>
        <v>l</v>
      </c>
      <c r="AL6" s="10" t="str">
        <f t="shared" si="13"/>
        <v>m</v>
      </c>
      <c r="AM6" s="10" t="str">
        <f t="shared" si="13"/>
        <v>m</v>
      </c>
      <c r="AN6" s="10" t="str">
        <f t="shared" si="13"/>
        <v>j</v>
      </c>
      <c r="AO6" s="10" t="str">
        <f t="shared" ref="AO6:BT6" si="14">LEFT(TEXT(AO5,"ddd"),1)</f>
        <v>v</v>
      </c>
      <c r="AP6" s="10" t="str">
        <f t="shared" si="14"/>
        <v>s</v>
      </c>
      <c r="AQ6" s="10" t="str">
        <f t="shared" si="14"/>
        <v>d</v>
      </c>
      <c r="AR6" s="10" t="str">
        <f t="shared" si="14"/>
        <v>l</v>
      </c>
      <c r="AS6" s="10" t="str">
        <f t="shared" si="14"/>
        <v>m</v>
      </c>
      <c r="AT6" s="10" t="str">
        <f t="shared" si="14"/>
        <v>m</v>
      </c>
      <c r="AU6" s="10" t="str">
        <f t="shared" si="14"/>
        <v>j</v>
      </c>
      <c r="AV6" s="10" t="str">
        <f t="shared" si="14"/>
        <v>v</v>
      </c>
      <c r="AW6" s="10" t="str">
        <f t="shared" si="14"/>
        <v>s</v>
      </c>
      <c r="AX6" s="10" t="str">
        <f t="shared" si="14"/>
        <v>d</v>
      </c>
      <c r="AY6" s="10" t="str">
        <f t="shared" si="14"/>
        <v>l</v>
      </c>
      <c r="AZ6" s="10" t="str">
        <f t="shared" si="14"/>
        <v>m</v>
      </c>
      <c r="BA6" s="10" t="str">
        <f t="shared" si="14"/>
        <v>m</v>
      </c>
      <c r="BB6" s="10" t="str">
        <f t="shared" si="14"/>
        <v>j</v>
      </c>
      <c r="BC6" s="10" t="str">
        <f t="shared" si="14"/>
        <v>v</v>
      </c>
      <c r="BD6" s="10" t="str">
        <f t="shared" si="14"/>
        <v>s</v>
      </c>
      <c r="BE6" s="10" t="str">
        <f t="shared" si="14"/>
        <v>d</v>
      </c>
      <c r="BF6" s="10" t="str">
        <f t="shared" si="14"/>
        <v>l</v>
      </c>
      <c r="BG6" s="10" t="str">
        <f t="shared" si="14"/>
        <v>m</v>
      </c>
      <c r="BH6" s="10" t="str">
        <f t="shared" si="14"/>
        <v>m</v>
      </c>
      <c r="BI6" s="10" t="str">
        <f t="shared" si="14"/>
        <v>j</v>
      </c>
      <c r="BJ6" s="10" t="str">
        <f t="shared" si="14"/>
        <v>v</v>
      </c>
      <c r="BK6" s="10" t="str">
        <f t="shared" si="14"/>
        <v>s</v>
      </c>
      <c r="BL6" s="10" t="str">
        <f t="shared" si="14"/>
        <v>d</v>
      </c>
      <c r="BM6" s="10" t="str">
        <f t="shared" si="14"/>
        <v>l</v>
      </c>
      <c r="BN6" s="10" t="str">
        <f t="shared" si="14"/>
        <v>m</v>
      </c>
      <c r="BO6" s="10" t="str">
        <f t="shared" si="14"/>
        <v>m</v>
      </c>
      <c r="BP6" s="10" t="str">
        <f t="shared" si="14"/>
        <v>j</v>
      </c>
      <c r="BQ6" s="10" t="str">
        <f t="shared" si="14"/>
        <v>v</v>
      </c>
      <c r="BR6" s="10" t="str">
        <f t="shared" si="14"/>
        <v>s</v>
      </c>
      <c r="BS6" s="10" t="str">
        <f t="shared" si="14"/>
        <v>d</v>
      </c>
      <c r="BT6" s="10" t="str">
        <f t="shared" si="14"/>
        <v>l</v>
      </c>
      <c r="BU6" s="10" t="str">
        <f t="shared" ref="BU6:CZ6" si="15">LEFT(TEXT(BU5,"ddd"),1)</f>
        <v>m</v>
      </c>
      <c r="BV6" s="10" t="str">
        <f t="shared" si="15"/>
        <v>m</v>
      </c>
      <c r="BW6" s="10" t="str">
        <f t="shared" si="15"/>
        <v>j</v>
      </c>
      <c r="BX6" s="10" t="str">
        <f t="shared" si="15"/>
        <v>v</v>
      </c>
      <c r="BY6" s="10" t="str">
        <f t="shared" si="15"/>
        <v>s</v>
      </c>
      <c r="BZ6" s="10" t="str">
        <f t="shared" si="15"/>
        <v>d</v>
      </c>
      <c r="CA6" s="10" t="str">
        <f t="shared" si="15"/>
        <v>l</v>
      </c>
      <c r="CB6" s="10" t="str">
        <f t="shared" si="15"/>
        <v>m</v>
      </c>
      <c r="CC6" s="10" t="str">
        <f t="shared" si="15"/>
        <v>m</v>
      </c>
      <c r="CD6" s="10" t="str">
        <f t="shared" si="15"/>
        <v>j</v>
      </c>
      <c r="CE6" s="10" t="str">
        <f t="shared" si="15"/>
        <v>v</v>
      </c>
      <c r="CF6" s="10" t="str">
        <f t="shared" si="15"/>
        <v>s</v>
      </c>
      <c r="CG6" s="10" t="str">
        <f t="shared" si="15"/>
        <v>d</v>
      </c>
      <c r="CH6" s="10" t="str">
        <f t="shared" si="15"/>
        <v>l</v>
      </c>
      <c r="CI6" s="10" t="str">
        <f t="shared" si="15"/>
        <v>m</v>
      </c>
      <c r="CJ6" s="10" t="str">
        <f t="shared" si="15"/>
        <v>m</v>
      </c>
      <c r="CK6" s="10" t="str">
        <f t="shared" si="15"/>
        <v>j</v>
      </c>
      <c r="CL6" s="10" t="str">
        <f t="shared" si="15"/>
        <v>v</v>
      </c>
      <c r="CM6" s="10" t="str">
        <f t="shared" si="15"/>
        <v>s</v>
      </c>
      <c r="CN6" s="10" t="str">
        <f t="shared" si="15"/>
        <v>d</v>
      </c>
      <c r="CO6" s="10" t="str">
        <f t="shared" si="15"/>
        <v>l</v>
      </c>
      <c r="CP6" s="10" t="str">
        <f t="shared" si="15"/>
        <v>m</v>
      </c>
      <c r="CQ6" s="10" t="str">
        <f t="shared" si="15"/>
        <v>m</v>
      </c>
      <c r="CR6" s="10" t="str">
        <f t="shared" si="15"/>
        <v>j</v>
      </c>
      <c r="CS6" s="10" t="str">
        <f t="shared" si="15"/>
        <v>v</v>
      </c>
      <c r="CT6" s="10" t="str">
        <f t="shared" si="15"/>
        <v>s</v>
      </c>
      <c r="CU6" s="10" t="str">
        <f t="shared" si="15"/>
        <v>d</v>
      </c>
      <c r="CV6" s="10" t="str">
        <f t="shared" si="15"/>
        <v>l</v>
      </c>
      <c r="CW6" s="10" t="str">
        <f t="shared" si="15"/>
        <v>m</v>
      </c>
      <c r="CX6" s="10" t="str">
        <f t="shared" si="15"/>
        <v>m</v>
      </c>
      <c r="CY6" s="10" t="str">
        <f t="shared" si="15"/>
        <v>j</v>
      </c>
      <c r="CZ6" s="10" t="str">
        <f t="shared" si="15"/>
        <v>v</v>
      </c>
      <c r="DA6" s="10" t="str">
        <f t="shared" ref="DA6:EF6" si="16">LEFT(TEXT(DA5,"ddd"),1)</f>
        <v>s</v>
      </c>
      <c r="DB6" s="10" t="str">
        <f t="shared" si="16"/>
        <v>d</v>
      </c>
      <c r="DC6" s="10" t="str">
        <f t="shared" si="16"/>
        <v>l</v>
      </c>
      <c r="DD6" s="10" t="str">
        <f t="shared" si="16"/>
        <v>m</v>
      </c>
      <c r="DE6" s="10" t="str">
        <f t="shared" si="16"/>
        <v>m</v>
      </c>
      <c r="DF6" s="10" t="str">
        <f t="shared" si="16"/>
        <v>j</v>
      </c>
      <c r="DG6" s="10" t="str">
        <f t="shared" si="16"/>
        <v>v</v>
      </c>
      <c r="DH6" s="10" t="str">
        <f t="shared" si="16"/>
        <v>s</v>
      </c>
      <c r="DI6" s="10" t="str">
        <f t="shared" si="16"/>
        <v>d</v>
      </c>
      <c r="DJ6" s="10" t="str">
        <f t="shared" ref="DJ6" si="17">LEFT(TEXT(DJ5,"ddd"),1)</f>
        <v>l</v>
      </c>
      <c r="DK6" s="10" t="str">
        <f t="shared" ref="DK6" si="18">LEFT(TEXT(DK5,"ddd"),1)</f>
        <v>m</v>
      </c>
      <c r="DL6" s="10" t="str">
        <f t="shared" ref="DL6" si="19">LEFT(TEXT(DL5,"ddd"),1)</f>
        <v>m</v>
      </c>
      <c r="DM6" s="10" t="str">
        <f t="shared" ref="DM6" si="20">LEFT(TEXT(DM5,"ddd"),1)</f>
        <v>j</v>
      </c>
      <c r="DN6" s="10" t="str">
        <f t="shared" ref="DN6" si="21">LEFT(TEXT(DN5,"ddd"),1)</f>
        <v>v</v>
      </c>
      <c r="DO6" s="10" t="str">
        <f t="shared" ref="DO6" si="22">LEFT(TEXT(DO5,"ddd"),1)</f>
        <v>s</v>
      </c>
      <c r="DP6" s="10" t="str">
        <f t="shared" ref="DP6" si="23">LEFT(TEXT(DP5,"ddd"),1)</f>
        <v>d</v>
      </c>
      <c r="DQ6" s="10" t="str">
        <f t="shared" ref="DQ6" si="24">LEFT(TEXT(DQ5,"ddd"),1)</f>
        <v>l</v>
      </c>
      <c r="DR6" s="10" t="str">
        <f t="shared" ref="DR6" si="25">LEFT(TEXT(DR5,"ddd"),1)</f>
        <v>m</v>
      </c>
      <c r="DS6" s="10" t="str">
        <f t="shared" ref="DS6" si="26">LEFT(TEXT(DS5,"ddd"),1)</f>
        <v>m</v>
      </c>
      <c r="DT6" s="10" t="str">
        <f t="shared" ref="DT6" si="27">LEFT(TEXT(DT5,"ddd"),1)</f>
        <v>j</v>
      </c>
      <c r="DU6" s="10" t="str">
        <f t="shared" ref="DU6" si="28">LEFT(TEXT(DU5,"ddd"),1)</f>
        <v>v</v>
      </c>
      <c r="DV6" s="10" t="str">
        <f t="shared" ref="DV6" si="29">LEFT(TEXT(DV5,"ddd"),1)</f>
        <v>s</v>
      </c>
      <c r="DW6" s="10" t="str">
        <f t="shared" ref="DW6" si="30">LEFT(TEXT(DW5,"ddd"),1)</f>
        <v>d</v>
      </c>
      <c r="DX6" s="10" t="str">
        <f t="shared" ref="DX6" si="31">LEFT(TEXT(DX5,"ddd"),1)</f>
        <v>l</v>
      </c>
      <c r="DY6" s="10" t="str">
        <f t="shared" ref="DY6" si="32">LEFT(TEXT(DY5,"ddd"),1)</f>
        <v>m</v>
      </c>
      <c r="DZ6" s="10" t="str">
        <f t="shared" ref="DZ6" si="33">LEFT(TEXT(DZ5,"ddd"),1)</f>
        <v>m</v>
      </c>
      <c r="EA6" s="10" t="str">
        <f t="shared" ref="EA6" si="34">LEFT(TEXT(EA5,"ddd"),1)</f>
        <v>j</v>
      </c>
      <c r="EB6" s="10" t="str">
        <f t="shared" ref="EB6" si="35">LEFT(TEXT(EB5,"ddd"),1)</f>
        <v>v</v>
      </c>
      <c r="EC6" s="10" t="str">
        <f t="shared" ref="EC6" si="36">LEFT(TEXT(EC5,"ddd"),1)</f>
        <v>s</v>
      </c>
      <c r="ED6" s="10" t="str">
        <f t="shared" ref="ED6" si="37">LEFT(TEXT(ED5,"ddd"),1)</f>
        <v>d</v>
      </c>
      <c r="EE6" s="10" t="str">
        <f t="shared" ref="EE6" si="38">LEFT(TEXT(EE5,"ddd"),1)</f>
        <v>l</v>
      </c>
      <c r="EF6" s="10" t="str">
        <f t="shared" ref="EF6" si="39">LEFT(TEXT(EF5,"ddd"),1)</f>
        <v>m</v>
      </c>
      <c r="EG6" s="10" t="str">
        <f t="shared" ref="EG6" si="40">LEFT(TEXT(EG5,"ddd"),1)</f>
        <v>m</v>
      </c>
      <c r="EH6" s="10" t="str">
        <f t="shared" ref="EH6" si="41">LEFT(TEXT(EH5,"ddd"),1)</f>
        <v>j</v>
      </c>
      <c r="EI6" s="10" t="str">
        <f t="shared" ref="EI6" si="42">LEFT(TEXT(EI5,"ddd"),1)</f>
        <v>v</v>
      </c>
      <c r="EJ6" s="10" t="str">
        <f t="shared" ref="EJ6" si="43">LEFT(TEXT(EJ5,"ddd"),1)</f>
        <v>s</v>
      </c>
      <c r="EK6" s="10" t="str">
        <f t="shared" ref="EK6" si="44">LEFT(TEXT(EK5,"ddd"),1)</f>
        <v>d</v>
      </c>
      <c r="EL6" s="10" t="str">
        <f t="shared" ref="EL6" si="45">LEFT(TEXT(EL5,"ddd"),1)</f>
        <v>l</v>
      </c>
      <c r="EM6" s="10" t="str">
        <f t="shared" ref="EM6" si="46">LEFT(TEXT(EM5,"ddd"),1)</f>
        <v>m</v>
      </c>
      <c r="EN6" s="10" t="str">
        <f t="shared" ref="EN6" si="47">LEFT(TEXT(EN5,"ddd"),1)</f>
        <v>m</v>
      </c>
      <c r="EO6" s="10" t="str">
        <f t="shared" ref="EO6" si="48">LEFT(TEXT(EO5,"ddd"),1)</f>
        <v>j</v>
      </c>
      <c r="EP6" s="10" t="str">
        <f t="shared" ref="EP6" si="49">LEFT(TEXT(EP5,"ddd"),1)</f>
        <v>v</v>
      </c>
      <c r="EQ6" s="10" t="str">
        <f t="shared" ref="EQ6" si="50">LEFT(TEXT(EQ5,"ddd"),1)</f>
        <v>s</v>
      </c>
      <c r="ER6" s="10" t="str">
        <f t="shared" ref="ER6" si="51">LEFT(TEXT(ER5,"ddd"),1)</f>
        <v>d</v>
      </c>
      <c r="ES6" s="10" t="str">
        <f t="shared" ref="ES6" si="52">LEFT(TEXT(ES5,"ddd"),1)</f>
        <v>l</v>
      </c>
      <c r="ET6" s="10" t="str">
        <f t="shared" ref="ET6" si="53">LEFT(TEXT(ET5,"ddd"),1)</f>
        <v>m</v>
      </c>
      <c r="EU6" s="10" t="str">
        <f t="shared" ref="EU6" si="54">LEFT(TEXT(EU5,"ddd"),1)</f>
        <v>m</v>
      </c>
      <c r="EV6" s="10" t="str">
        <f t="shared" ref="EV6" si="55">LEFT(TEXT(EV5,"ddd"),1)</f>
        <v>j</v>
      </c>
      <c r="EW6" s="10" t="str">
        <f t="shared" ref="EW6" si="56">LEFT(TEXT(EW5,"ddd"),1)</f>
        <v>v</v>
      </c>
      <c r="EX6" s="10" t="str">
        <f t="shared" ref="EX6" si="57">LEFT(TEXT(EX5,"ddd"),1)</f>
        <v>s</v>
      </c>
      <c r="EY6" s="10" t="str">
        <f t="shared" ref="EY6" si="58">LEFT(TEXT(EY5,"ddd"),1)</f>
        <v>d</v>
      </c>
      <c r="EZ6" s="10" t="str">
        <f t="shared" ref="EZ6" si="59">LEFT(TEXT(EZ5,"ddd"),1)</f>
        <v>l</v>
      </c>
      <c r="FA6" s="10" t="str">
        <f t="shared" ref="FA6" si="60">LEFT(TEXT(FA5,"ddd"),1)</f>
        <v>m</v>
      </c>
      <c r="FB6" s="10" t="str">
        <f t="shared" ref="FB6" si="61">LEFT(TEXT(FB5,"ddd"),1)</f>
        <v>m</v>
      </c>
      <c r="FC6" s="10" t="str">
        <f t="shared" ref="FC6" si="62">LEFT(TEXT(FC5,"ddd"),1)</f>
        <v>j</v>
      </c>
      <c r="FD6" s="10" t="str">
        <f t="shared" ref="FD6" si="63">LEFT(TEXT(FD5,"ddd"),1)</f>
        <v>v</v>
      </c>
      <c r="FE6" s="10" t="str">
        <f t="shared" ref="FE6" si="64">LEFT(TEXT(FE5,"ddd"),1)</f>
        <v>s</v>
      </c>
      <c r="FF6" s="10" t="str">
        <f t="shared" ref="FF6" si="65">LEFT(TEXT(FF5,"ddd"),1)</f>
        <v>d</v>
      </c>
      <c r="FG6" s="10" t="str">
        <f t="shared" ref="FG6" si="66">LEFT(TEXT(FG5,"ddd"),1)</f>
        <v>l</v>
      </c>
      <c r="FH6" s="10" t="str">
        <f t="shared" ref="FH6" si="67">LEFT(TEXT(FH5,"ddd"),1)</f>
        <v>m</v>
      </c>
      <c r="FI6" s="10" t="str">
        <f t="shared" ref="FI6" si="68">LEFT(TEXT(FI5,"ddd"),1)</f>
        <v>m</v>
      </c>
      <c r="FJ6" s="10" t="str">
        <f t="shared" ref="FJ6" si="69">LEFT(TEXT(FJ5,"ddd"),1)</f>
        <v>j</v>
      </c>
      <c r="FK6" s="10" t="str">
        <f t="shared" ref="FK6" si="70">LEFT(TEXT(FK5,"ddd"),1)</f>
        <v>v</v>
      </c>
      <c r="FL6" s="10" t="str">
        <f t="shared" ref="FL6" si="71">LEFT(TEXT(FL5,"ddd"),1)</f>
        <v>s</v>
      </c>
      <c r="FM6" s="10" t="str">
        <f t="shared" ref="FM6" si="72">LEFT(TEXT(FM5,"ddd"),1)</f>
        <v>d</v>
      </c>
      <c r="FN6" s="10" t="str">
        <f t="shared" ref="FN6" si="73">LEFT(TEXT(FN5,"ddd"),1)</f>
        <v>l</v>
      </c>
      <c r="FO6" s="10" t="str">
        <f t="shared" ref="FO6" si="74">LEFT(TEXT(FO5,"ddd"),1)</f>
        <v>m</v>
      </c>
      <c r="FP6" s="10" t="str">
        <f t="shared" ref="FP6" si="75">LEFT(TEXT(FP5,"ddd"),1)</f>
        <v>m</v>
      </c>
      <c r="FQ6" s="10" t="str">
        <f t="shared" ref="FQ6" si="76">LEFT(TEXT(FQ5,"ddd"),1)</f>
        <v>j</v>
      </c>
      <c r="FR6" s="10" t="str">
        <f t="shared" ref="FR6" si="77">LEFT(TEXT(FR5,"ddd"),1)</f>
        <v>v</v>
      </c>
      <c r="FS6" s="10" t="str">
        <f t="shared" ref="FS6" si="78">LEFT(TEXT(FS5,"ddd"),1)</f>
        <v>s</v>
      </c>
      <c r="FT6" s="10" t="str">
        <f t="shared" ref="FT6" si="79">LEFT(TEXT(FT5,"ddd"),1)</f>
        <v>d</v>
      </c>
    </row>
    <row r="7" spans="1:176" ht="4" customHeight="1" thickBot="1" x14ac:dyDescent="0.4">
      <c r="A7" s="20" t="s">
        <v>17</v>
      </c>
      <c r="C7" s="23"/>
      <c r="H7" t="str">
        <f>IF(OR(ISBLANK(task_start),ISBLANK(task_end)),"",task_end-task_start+1)</f>
        <v/>
      </c>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row>
    <row r="8" spans="1:176" s="3" customFormat="1" ht="30" customHeight="1" thickBot="1" x14ac:dyDescent="0.4">
      <c r="A8" s="21" t="s">
        <v>18</v>
      </c>
      <c r="B8" s="62" t="s">
        <v>19</v>
      </c>
      <c r="C8" s="25"/>
      <c r="D8" s="1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c r="EI8" s="33"/>
      <c r="EJ8" s="33"/>
      <c r="EK8" s="33"/>
      <c r="EL8" s="33"/>
      <c r="EM8" s="33"/>
      <c r="EN8" s="33"/>
      <c r="EO8" s="33"/>
      <c r="EP8" s="33"/>
      <c r="EQ8" s="33"/>
      <c r="ER8" s="33"/>
      <c r="ES8" s="33"/>
      <c r="ET8" s="33"/>
      <c r="EU8" s="33"/>
      <c r="EV8" s="33"/>
      <c r="EW8" s="33"/>
      <c r="EX8" s="33"/>
      <c r="EY8" s="33"/>
      <c r="EZ8" s="33"/>
      <c r="FA8" s="33"/>
      <c r="FB8" s="33"/>
      <c r="FC8" s="33"/>
      <c r="FD8" s="33"/>
      <c r="FE8" s="33"/>
      <c r="FF8" s="33"/>
      <c r="FG8" s="33"/>
      <c r="FH8" s="33"/>
      <c r="FI8" s="33"/>
      <c r="FJ8" s="33"/>
      <c r="FK8" s="33"/>
      <c r="FL8" s="33"/>
      <c r="FM8" s="33"/>
      <c r="FN8" s="33"/>
      <c r="FO8" s="33"/>
      <c r="FP8" s="33"/>
      <c r="FQ8" s="33"/>
      <c r="FR8" s="33"/>
      <c r="FS8" s="33"/>
      <c r="FT8" s="33"/>
    </row>
    <row r="9" spans="1:176" s="3" customFormat="1" ht="30" customHeight="1" thickBot="1" x14ac:dyDescent="0.4">
      <c r="A9" s="21" t="s">
        <v>20</v>
      </c>
      <c r="B9" s="63" t="s">
        <v>40</v>
      </c>
      <c r="C9" s="64"/>
      <c r="D9" s="14">
        <v>1</v>
      </c>
      <c r="E9" s="52">
        <v>46029</v>
      </c>
      <c r="F9" s="52">
        <v>46036</v>
      </c>
      <c r="G9" s="42"/>
      <c r="H9" s="42">
        <f>IF(OR(ISBLANK(task_start),ISBLANK(task_end)),"",task_end-task_start+1)</f>
        <v>8</v>
      </c>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3"/>
      <c r="CX9" s="43"/>
      <c r="CY9" s="43"/>
      <c r="CZ9" s="43"/>
      <c r="DA9" s="43"/>
      <c r="DB9" s="43"/>
      <c r="DC9" s="43"/>
      <c r="DD9" s="43"/>
      <c r="DE9" s="43"/>
      <c r="DF9" s="43"/>
      <c r="DG9" s="43"/>
      <c r="DH9" s="43"/>
      <c r="DI9" s="43"/>
      <c r="DJ9" s="43"/>
      <c r="DK9" s="43"/>
      <c r="DL9" s="43"/>
      <c r="DM9" s="43"/>
      <c r="DN9" s="43"/>
      <c r="DO9" s="43"/>
      <c r="DP9" s="43"/>
      <c r="DQ9" s="43"/>
      <c r="DR9" s="43"/>
      <c r="DS9" s="43"/>
      <c r="DT9" s="43"/>
      <c r="DU9" s="43"/>
      <c r="DV9" s="43"/>
      <c r="DW9" s="43"/>
      <c r="DX9" s="43"/>
      <c r="DY9" s="43"/>
      <c r="DZ9" s="43"/>
      <c r="EA9" s="43"/>
      <c r="EB9" s="43"/>
      <c r="EC9" s="43"/>
      <c r="ED9" s="43"/>
      <c r="EE9" s="43"/>
      <c r="EF9" s="43"/>
      <c r="EG9" s="43"/>
      <c r="EH9" s="43"/>
      <c r="EI9" s="43"/>
      <c r="EJ9" s="43"/>
      <c r="EK9" s="43"/>
      <c r="EL9" s="43"/>
      <c r="EM9" s="43"/>
      <c r="EN9" s="43"/>
      <c r="EO9" s="43"/>
      <c r="EP9" s="43"/>
      <c r="EQ9" s="43"/>
      <c r="ER9" s="43"/>
      <c r="ES9" s="43"/>
      <c r="ET9" s="43"/>
      <c r="EU9" s="43"/>
      <c r="EV9" s="43"/>
      <c r="EW9" s="43"/>
      <c r="EX9" s="43"/>
      <c r="EY9" s="43"/>
      <c r="EZ9" s="43"/>
      <c r="FA9" s="43"/>
      <c r="FB9" s="43"/>
      <c r="FC9" s="43"/>
      <c r="FD9" s="43"/>
      <c r="FE9" s="43"/>
      <c r="FF9" s="43"/>
      <c r="FG9" s="43"/>
      <c r="FH9" s="43"/>
      <c r="FI9" s="43"/>
      <c r="FJ9" s="43"/>
      <c r="FK9" s="43"/>
      <c r="FL9" s="43"/>
      <c r="FM9" s="43"/>
      <c r="FN9" s="43"/>
      <c r="FO9" s="43"/>
      <c r="FP9" s="43"/>
      <c r="FQ9" s="43"/>
      <c r="FR9" s="43"/>
      <c r="FS9" s="43"/>
      <c r="FT9" s="43"/>
    </row>
    <row r="10" spans="1:176" s="3" customFormat="1" ht="30" customHeight="1" thickBot="1" x14ac:dyDescent="0.4">
      <c r="A10" s="21" t="s">
        <v>21</v>
      </c>
      <c r="B10" s="63" t="s">
        <v>41</v>
      </c>
      <c r="C10" s="64"/>
      <c r="D10" s="14">
        <v>1</v>
      </c>
      <c r="E10" s="52">
        <v>46029</v>
      </c>
      <c r="F10" s="52">
        <v>46043</v>
      </c>
      <c r="G10" s="42"/>
      <c r="H10" s="42">
        <f>IF(OR(ISBLANK(task_start),ISBLANK(task_end)),"",task_end-task_start+1)</f>
        <v>15</v>
      </c>
      <c r="I10" s="43"/>
      <c r="J10" s="43"/>
      <c r="K10" s="43"/>
      <c r="L10" s="43"/>
      <c r="M10" s="43"/>
      <c r="N10" s="43"/>
      <c r="O10" s="43"/>
      <c r="P10" s="43"/>
      <c r="Q10" s="43"/>
      <c r="R10" s="43"/>
      <c r="S10" s="43"/>
      <c r="T10" s="43"/>
      <c r="U10" s="44"/>
      <c r="V10" s="44"/>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3"/>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3"/>
      <c r="CX10" s="43"/>
      <c r="CY10" s="43"/>
      <c r="CZ10" s="43"/>
      <c r="DA10" s="43"/>
      <c r="DB10" s="43"/>
      <c r="DC10" s="43"/>
      <c r="DD10" s="43"/>
      <c r="DE10" s="43"/>
      <c r="DF10" s="43"/>
      <c r="DG10" s="43"/>
      <c r="DH10" s="43"/>
      <c r="DI10" s="43"/>
      <c r="DJ10" s="43"/>
      <c r="DK10" s="43"/>
      <c r="DL10" s="43"/>
      <c r="DM10" s="43"/>
      <c r="DN10" s="43"/>
      <c r="DO10" s="43"/>
      <c r="DP10" s="43"/>
      <c r="DQ10" s="43"/>
      <c r="DR10" s="43"/>
      <c r="DS10" s="43"/>
      <c r="DT10" s="43"/>
      <c r="DU10" s="43"/>
      <c r="DV10" s="43"/>
      <c r="DW10" s="43"/>
      <c r="DX10" s="43"/>
      <c r="DY10" s="43"/>
      <c r="DZ10" s="43"/>
      <c r="EA10" s="43"/>
      <c r="EB10" s="43"/>
      <c r="EC10" s="43"/>
      <c r="ED10" s="43"/>
      <c r="EE10" s="43"/>
      <c r="EF10" s="43"/>
      <c r="EG10" s="43"/>
      <c r="EH10" s="43"/>
      <c r="EI10" s="43"/>
      <c r="EJ10" s="43"/>
      <c r="EK10" s="43"/>
      <c r="EL10" s="80"/>
      <c r="EM10" s="81"/>
      <c r="EN10" s="43"/>
      <c r="EO10" s="43"/>
      <c r="EP10" s="43"/>
      <c r="EQ10" s="43"/>
      <c r="ER10" s="43"/>
      <c r="ES10" s="43"/>
      <c r="ET10" s="43"/>
      <c r="EU10" s="43"/>
      <c r="EV10" s="43"/>
      <c r="EW10" s="43"/>
      <c r="EX10" s="43"/>
      <c r="EY10" s="43"/>
      <c r="EZ10" s="43"/>
      <c r="FA10" s="43"/>
      <c r="FB10" s="43"/>
      <c r="FC10" s="43"/>
      <c r="FD10" s="43"/>
      <c r="FE10" s="43"/>
      <c r="FF10" s="43"/>
      <c r="FG10" s="43"/>
      <c r="FH10" s="43"/>
      <c r="FI10" s="43"/>
      <c r="FJ10" s="43"/>
      <c r="FK10" s="43"/>
      <c r="FL10" s="43"/>
      <c r="FM10" s="43"/>
      <c r="FN10" s="43"/>
      <c r="FO10" s="43"/>
      <c r="FP10" s="43"/>
      <c r="FQ10" s="43"/>
      <c r="FR10" s="43"/>
      <c r="FS10" s="43"/>
      <c r="FT10" s="43"/>
    </row>
    <row r="11" spans="1:176" s="3" customFormat="1" ht="30" customHeight="1" thickBot="1" x14ac:dyDescent="0.4">
      <c r="A11" s="20"/>
      <c r="B11" s="63" t="s">
        <v>22</v>
      </c>
      <c r="C11" s="64"/>
      <c r="D11" s="14">
        <v>1</v>
      </c>
      <c r="E11" s="52">
        <v>46036</v>
      </c>
      <c r="F11" s="52">
        <v>46050</v>
      </c>
      <c r="G11" s="42"/>
      <c r="H11" s="42">
        <f>IF(OR(ISBLANK(task_start),ISBLANK(task_end)),"",task_end-task_start+1)</f>
        <v>15</v>
      </c>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3"/>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3"/>
      <c r="CX11" s="43"/>
      <c r="CY11" s="43"/>
      <c r="CZ11" s="43"/>
      <c r="DA11" s="43"/>
      <c r="DB11" s="43"/>
      <c r="DC11" s="43"/>
      <c r="DD11" s="43"/>
      <c r="DE11" s="43"/>
      <c r="DF11" s="43"/>
      <c r="DG11" s="43"/>
      <c r="DH11" s="43"/>
      <c r="DI11" s="43"/>
      <c r="DJ11" s="43"/>
      <c r="DK11" s="43"/>
      <c r="DL11" s="43"/>
      <c r="DM11" s="43"/>
      <c r="DN11" s="43"/>
      <c r="DO11" s="43"/>
      <c r="DP11" s="43"/>
      <c r="DQ11" s="43"/>
      <c r="DR11" s="43"/>
      <c r="DS11" s="43"/>
      <c r="DT11" s="43"/>
      <c r="DU11" s="43"/>
      <c r="DV11" s="43"/>
      <c r="DW11" s="43"/>
      <c r="DX11" s="43"/>
      <c r="DY11" s="43"/>
      <c r="DZ11" s="43"/>
      <c r="EA11" s="43"/>
      <c r="EB11" s="43"/>
      <c r="EC11" s="43"/>
      <c r="ED11" s="43"/>
      <c r="EE11" s="43"/>
      <c r="EF11" s="43"/>
      <c r="EG11" s="43"/>
      <c r="EH11" s="43"/>
      <c r="EI11" s="43"/>
      <c r="EJ11" s="43"/>
      <c r="EK11" s="43"/>
      <c r="EL11" s="43"/>
      <c r="EM11" s="43"/>
      <c r="EN11" s="43"/>
      <c r="EO11" s="43"/>
      <c r="EP11" s="43"/>
      <c r="EQ11" s="43"/>
      <c r="ER11" s="43"/>
      <c r="ES11" s="43"/>
      <c r="ET11" s="43"/>
      <c r="EU11" s="43"/>
      <c r="EV11" s="43"/>
      <c r="EW11" s="43"/>
      <c r="EX11" s="43"/>
      <c r="EY11" s="43"/>
      <c r="EZ11" s="43"/>
      <c r="FA11" s="43"/>
      <c r="FB11" s="43"/>
      <c r="FC11" s="43"/>
      <c r="FD11" s="43"/>
      <c r="FE11" s="43"/>
      <c r="FF11" s="43"/>
      <c r="FG11" s="43"/>
      <c r="FH11" s="43"/>
      <c r="FI11" s="43"/>
      <c r="FJ11" s="43"/>
      <c r="FK11" s="43"/>
      <c r="FL11" s="43"/>
      <c r="FM11" s="43"/>
      <c r="FN11" s="43"/>
      <c r="FO11" s="43"/>
      <c r="FP11" s="43"/>
      <c r="FQ11" s="43"/>
      <c r="FR11" s="43"/>
      <c r="FS11" s="43"/>
      <c r="FT11" s="43"/>
    </row>
    <row r="12" spans="1:176" s="3" customFormat="1" ht="30" customHeight="1" thickBot="1" x14ac:dyDescent="0.4">
      <c r="A12" s="20"/>
      <c r="B12" s="63" t="s">
        <v>23</v>
      </c>
      <c r="C12" s="64"/>
      <c r="D12" s="14">
        <v>1</v>
      </c>
      <c r="E12" s="52">
        <v>46036</v>
      </c>
      <c r="F12" s="52">
        <v>46053</v>
      </c>
      <c r="G12" s="42"/>
      <c r="H12" s="42">
        <f>IF(OR(ISBLANK(task_start),ISBLANK(task_end)),"",task_end-task_start+1)</f>
        <v>18</v>
      </c>
      <c r="I12" s="43"/>
      <c r="J12" s="43"/>
      <c r="K12" s="43"/>
      <c r="L12" s="43"/>
      <c r="M12" s="43"/>
      <c r="N12" s="43"/>
      <c r="O12" s="43"/>
      <c r="P12" s="43"/>
      <c r="Q12" s="43"/>
      <c r="R12" s="43"/>
      <c r="S12" s="43"/>
      <c r="T12" s="43"/>
      <c r="U12" s="43"/>
      <c r="V12" s="43"/>
      <c r="W12" s="43"/>
      <c r="X12" s="43"/>
      <c r="Y12" s="44"/>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3"/>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3"/>
      <c r="CX12" s="43"/>
      <c r="CY12" s="43"/>
      <c r="CZ12" s="43"/>
      <c r="DA12" s="43"/>
      <c r="DB12" s="43"/>
      <c r="DC12" s="43"/>
      <c r="DD12" s="43"/>
      <c r="DE12" s="43"/>
      <c r="DF12" s="43"/>
      <c r="DG12" s="43"/>
      <c r="DH12" s="43"/>
      <c r="DI12" s="43"/>
      <c r="DJ12" s="43"/>
      <c r="DK12" s="43"/>
      <c r="DL12" s="43"/>
      <c r="DM12" s="43"/>
      <c r="DN12" s="43"/>
      <c r="DO12" s="43"/>
      <c r="DP12" s="43"/>
      <c r="DQ12" s="43"/>
      <c r="DR12" s="43"/>
      <c r="DS12" s="43"/>
      <c r="DT12" s="43"/>
      <c r="DU12" s="43"/>
      <c r="DV12" s="43"/>
      <c r="DW12" s="43"/>
      <c r="DX12" s="43"/>
      <c r="DY12" s="43"/>
      <c r="DZ12" s="43"/>
      <c r="EA12" s="43"/>
      <c r="EB12" s="43"/>
      <c r="EC12" s="43"/>
      <c r="ED12" s="43"/>
      <c r="EE12" s="43"/>
      <c r="EF12" s="43"/>
      <c r="EG12" s="43"/>
      <c r="EH12" s="43"/>
      <c r="EI12" s="43"/>
      <c r="EJ12" s="43"/>
      <c r="EK12" s="43"/>
      <c r="EL12" s="43"/>
      <c r="EM12" s="43"/>
      <c r="EN12" s="43"/>
      <c r="EO12" s="43"/>
      <c r="EP12" s="43"/>
      <c r="EQ12" s="43"/>
      <c r="ER12" s="43"/>
      <c r="ES12" s="43"/>
      <c r="ET12" s="43"/>
      <c r="EU12" s="43"/>
      <c r="EV12" s="43"/>
      <c r="EW12" s="43"/>
      <c r="EX12" s="43"/>
      <c r="EY12" s="43"/>
      <c r="EZ12" s="43"/>
      <c r="FA12" s="43"/>
      <c r="FB12" s="43"/>
      <c r="FC12" s="43"/>
      <c r="FD12" s="43"/>
      <c r="FE12" s="43"/>
      <c r="FF12" s="43"/>
      <c r="FG12" s="43"/>
      <c r="FH12" s="43"/>
      <c r="FI12" s="43"/>
      <c r="FJ12" s="43"/>
      <c r="FK12" s="43"/>
      <c r="FL12" s="43"/>
      <c r="FM12" s="43"/>
      <c r="FN12" s="43"/>
      <c r="FO12" s="43"/>
      <c r="FP12" s="43"/>
      <c r="FQ12" s="43"/>
      <c r="FR12" s="43"/>
      <c r="FS12" s="43"/>
      <c r="FT12" s="43"/>
    </row>
    <row r="13" spans="1:176" s="3" customFormat="1" ht="30" customHeight="1" thickBot="1" x14ac:dyDescent="0.4">
      <c r="A13" s="20"/>
      <c r="B13" s="63" t="s">
        <v>24</v>
      </c>
      <c r="C13" s="64"/>
      <c r="D13" s="14">
        <v>1</v>
      </c>
      <c r="E13" s="52">
        <v>46043</v>
      </c>
      <c r="F13" s="52">
        <v>46053</v>
      </c>
      <c r="G13" s="42"/>
      <c r="H13" s="42">
        <f>IF(OR(ISBLANK(task_start),ISBLANK(task_end)),"",task_end-task_start+1)</f>
        <v>11</v>
      </c>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c r="BM13" s="43"/>
      <c r="BN13" s="43"/>
      <c r="BO13" s="43"/>
      <c r="BP13" s="43"/>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3"/>
      <c r="CX13" s="43"/>
      <c r="CY13" s="43"/>
      <c r="CZ13" s="43"/>
      <c r="DA13" s="43"/>
      <c r="DB13" s="43"/>
      <c r="DC13" s="43"/>
      <c r="DD13" s="43"/>
      <c r="DE13" s="43"/>
      <c r="DF13" s="43"/>
      <c r="DG13" s="43"/>
      <c r="DH13" s="43"/>
      <c r="DI13" s="43"/>
      <c r="DJ13" s="43"/>
      <c r="DK13" s="43"/>
      <c r="DL13" s="43"/>
      <c r="DM13" s="43"/>
      <c r="DN13" s="43"/>
      <c r="DO13" s="43"/>
      <c r="DP13" s="43"/>
      <c r="DQ13" s="43"/>
      <c r="DR13" s="43"/>
      <c r="DS13" s="43"/>
      <c r="DT13" s="43"/>
      <c r="DU13" s="43"/>
      <c r="DV13" s="43"/>
      <c r="DW13" s="43"/>
      <c r="DX13" s="43"/>
      <c r="DY13" s="43"/>
      <c r="DZ13" s="43"/>
      <c r="EA13" s="43"/>
      <c r="EB13" s="43"/>
      <c r="EC13" s="43"/>
      <c r="ED13" s="43"/>
      <c r="EE13" s="43"/>
      <c r="EF13" s="43"/>
      <c r="EG13" s="43"/>
      <c r="EH13" s="43"/>
      <c r="EI13" s="43"/>
      <c r="EJ13" s="43"/>
      <c r="EK13" s="43"/>
      <c r="EL13" s="43"/>
      <c r="EM13" s="43"/>
      <c r="EN13" s="43"/>
      <c r="EO13" s="43"/>
      <c r="EP13" s="43"/>
      <c r="EQ13" s="43"/>
      <c r="ER13" s="43"/>
      <c r="ES13" s="43"/>
      <c r="ET13" s="43"/>
      <c r="EU13" s="43"/>
      <c r="EV13" s="43"/>
      <c r="EW13" s="43"/>
      <c r="EX13" s="43"/>
      <c r="EY13" s="43"/>
      <c r="EZ13" s="43"/>
      <c r="FA13" s="43"/>
      <c r="FB13" s="43"/>
      <c r="FC13" s="43"/>
      <c r="FD13" s="43"/>
      <c r="FE13" s="43"/>
      <c r="FF13" s="43"/>
      <c r="FG13" s="43"/>
      <c r="FH13" s="43"/>
      <c r="FI13" s="43"/>
      <c r="FJ13" s="43"/>
      <c r="FK13" s="43"/>
      <c r="FL13" s="43"/>
      <c r="FM13" s="43"/>
      <c r="FN13" s="43"/>
      <c r="FO13" s="43"/>
      <c r="FP13" s="43"/>
      <c r="FQ13" s="43"/>
      <c r="FR13" s="43"/>
      <c r="FS13" s="43"/>
      <c r="FT13" s="43"/>
    </row>
    <row r="14" spans="1:176" s="3" customFormat="1" ht="30" customHeight="1" thickBot="1" x14ac:dyDescent="0.4">
      <c r="A14" s="21" t="s">
        <v>25</v>
      </c>
      <c r="B14" s="70" t="s">
        <v>26</v>
      </c>
      <c r="C14" s="26"/>
      <c r="D14" s="15"/>
      <c r="E14" s="53"/>
      <c r="F14" s="5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c r="CT14" s="34"/>
      <c r="CU14" s="34"/>
      <c r="CV14" s="34"/>
      <c r="CW14" s="34"/>
      <c r="CX14" s="34"/>
      <c r="CY14" s="34"/>
      <c r="CZ14" s="34"/>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c r="EJ14" s="34"/>
      <c r="EK14" s="34"/>
      <c r="EL14" s="34"/>
      <c r="EM14" s="34"/>
      <c r="EN14" s="34"/>
      <c r="EO14" s="34"/>
      <c r="EP14" s="34"/>
      <c r="EQ14" s="34"/>
      <c r="ER14" s="34"/>
      <c r="ES14" s="34"/>
      <c r="ET14" s="34"/>
      <c r="EU14" s="34"/>
      <c r="EV14" s="34"/>
      <c r="EW14" s="34"/>
      <c r="EX14" s="34"/>
      <c r="EY14" s="34"/>
      <c r="EZ14" s="34"/>
      <c r="FA14" s="34"/>
      <c r="FB14" s="34"/>
      <c r="FC14" s="34"/>
      <c r="FD14" s="34"/>
      <c r="FE14" s="34"/>
      <c r="FF14" s="34"/>
      <c r="FG14" s="34"/>
      <c r="FH14" s="34"/>
      <c r="FI14" s="34"/>
      <c r="FJ14" s="34"/>
      <c r="FK14" s="34"/>
      <c r="FL14" s="34"/>
      <c r="FM14" s="34"/>
      <c r="FN14" s="34"/>
      <c r="FO14" s="34"/>
      <c r="FP14" s="34"/>
      <c r="FQ14" s="34"/>
      <c r="FR14" s="34"/>
      <c r="FS14" s="34"/>
      <c r="FT14" s="34"/>
    </row>
    <row r="15" spans="1:176" s="3" customFormat="1" ht="30" customHeight="1" thickBot="1" x14ac:dyDescent="0.4">
      <c r="A15" s="21"/>
      <c r="B15" s="65" t="s">
        <v>42</v>
      </c>
      <c r="C15" s="66"/>
      <c r="D15" s="14">
        <v>1</v>
      </c>
      <c r="E15" s="55">
        <v>46054</v>
      </c>
      <c r="F15" s="55">
        <v>46081</v>
      </c>
      <c r="G15" s="45"/>
      <c r="H15" s="45">
        <f>IF(OR(ISBLANK(task_start),ISBLANK(task_end)),"",task_end-task_start+1)</f>
        <v>28</v>
      </c>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c r="BT15" s="46"/>
      <c r="BU15" s="46"/>
      <c r="BV15" s="46"/>
      <c r="BW15" s="46"/>
      <c r="BX15" s="46"/>
      <c r="BY15" s="46"/>
      <c r="BZ15" s="46"/>
      <c r="CA15" s="46"/>
      <c r="CB15" s="46"/>
      <c r="CC15" s="46"/>
      <c r="CD15" s="46"/>
      <c r="CE15" s="46"/>
      <c r="CF15" s="46"/>
      <c r="CG15" s="46"/>
      <c r="CH15" s="46"/>
      <c r="CI15" s="46"/>
      <c r="CJ15" s="46"/>
      <c r="CK15" s="46"/>
      <c r="CL15" s="46"/>
      <c r="CM15" s="46"/>
      <c r="CN15" s="46"/>
      <c r="CO15" s="46"/>
      <c r="CP15" s="46"/>
      <c r="CQ15" s="46"/>
      <c r="CR15" s="46"/>
      <c r="CS15" s="46"/>
      <c r="CT15" s="46"/>
      <c r="CU15" s="46"/>
      <c r="CV15" s="46"/>
      <c r="CW15" s="46"/>
      <c r="CX15" s="46"/>
      <c r="CY15" s="46"/>
      <c r="CZ15" s="46"/>
      <c r="DA15" s="46"/>
      <c r="DB15" s="46"/>
      <c r="DC15" s="46"/>
      <c r="DD15" s="46"/>
      <c r="DE15" s="46"/>
      <c r="DF15" s="46"/>
      <c r="DG15" s="46"/>
      <c r="DH15" s="46"/>
      <c r="DI15" s="46"/>
      <c r="DJ15" s="46"/>
      <c r="DK15" s="46"/>
      <c r="DL15" s="46"/>
      <c r="DM15" s="46"/>
      <c r="DN15" s="46"/>
      <c r="DO15" s="46"/>
      <c r="DP15" s="46"/>
      <c r="DQ15" s="46"/>
      <c r="DR15" s="46"/>
      <c r="DS15" s="46"/>
      <c r="DT15" s="46"/>
      <c r="DU15" s="46"/>
      <c r="DV15" s="46"/>
      <c r="DW15" s="46"/>
      <c r="DX15" s="46"/>
      <c r="DY15" s="46"/>
      <c r="DZ15" s="46"/>
      <c r="EA15" s="46"/>
      <c r="EB15" s="46"/>
      <c r="EC15" s="46"/>
      <c r="ED15" s="46"/>
      <c r="EE15" s="46"/>
      <c r="EF15" s="46"/>
      <c r="EG15" s="46"/>
      <c r="EH15" s="46"/>
      <c r="EI15" s="46"/>
      <c r="EJ15" s="46"/>
      <c r="EK15" s="46"/>
      <c r="EL15" s="46"/>
      <c r="EM15" s="46"/>
      <c r="EN15" s="46"/>
      <c r="EO15" s="46"/>
      <c r="EP15" s="46"/>
      <c r="EQ15" s="46"/>
      <c r="ER15" s="46"/>
      <c r="ES15" s="46"/>
      <c r="ET15" s="46"/>
      <c r="EU15" s="46"/>
      <c r="EV15" s="46"/>
      <c r="EW15" s="46"/>
      <c r="EX15" s="46"/>
      <c r="EY15" s="46"/>
      <c r="EZ15" s="46"/>
      <c r="FA15" s="46"/>
      <c r="FB15" s="46"/>
      <c r="FC15" s="46"/>
      <c r="FD15" s="46"/>
      <c r="FE15" s="46"/>
      <c r="FF15" s="46"/>
      <c r="FG15" s="46"/>
      <c r="FH15" s="46"/>
      <c r="FI15" s="46"/>
      <c r="FJ15" s="46"/>
      <c r="FK15" s="46"/>
      <c r="FL15" s="46"/>
      <c r="FM15" s="46"/>
      <c r="FN15" s="46"/>
      <c r="FO15" s="46"/>
      <c r="FP15" s="46"/>
      <c r="FQ15" s="46"/>
      <c r="FR15" s="46"/>
      <c r="FS15" s="46"/>
      <c r="FT15" s="46"/>
    </row>
    <row r="16" spans="1:176" s="3" customFormat="1" ht="30" customHeight="1" thickBot="1" x14ac:dyDescent="0.4">
      <c r="A16" s="20"/>
      <c r="B16" s="65" t="s">
        <v>43</v>
      </c>
      <c r="C16" s="66"/>
      <c r="D16" s="14">
        <v>1</v>
      </c>
      <c r="E16" s="55">
        <v>46067</v>
      </c>
      <c r="F16" s="55">
        <v>46095</v>
      </c>
      <c r="G16" s="45"/>
      <c r="H16" s="45">
        <f>IF(OR(ISBLANK(task_start),ISBLANK(task_end)),"",task_end-task_start+1)</f>
        <v>29</v>
      </c>
      <c r="I16" s="46"/>
      <c r="J16" s="46"/>
      <c r="K16" s="46"/>
      <c r="L16" s="46"/>
      <c r="M16" s="46"/>
      <c r="N16" s="46"/>
      <c r="O16" s="46"/>
      <c r="P16" s="46"/>
      <c r="Q16" s="46"/>
      <c r="R16" s="46"/>
      <c r="S16" s="46"/>
      <c r="T16" s="46"/>
      <c r="U16" s="47"/>
      <c r="V16" s="47"/>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6"/>
      <c r="BQ16" s="46"/>
      <c r="BR16" s="46"/>
      <c r="BS16" s="46"/>
      <c r="BT16" s="46"/>
      <c r="BU16" s="46"/>
      <c r="BV16" s="46"/>
      <c r="BW16" s="46"/>
      <c r="BX16" s="46"/>
      <c r="BY16" s="46"/>
      <c r="BZ16" s="46"/>
      <c r="CA16" s="46"/>
      <c r="CB16" s="46"/>
      <c r="CC16" s="46"/>
      <c r="CD16" s="46"/>
      <c r="CE16" s="46"/>
      <c r="CF16" s="46"/>
      <c r="CG16" s="46"/>
      <c r="CH16" s="46"/>
      <c r="CI16" s="46"/>
      <c r="CJ16" s="46"/>
      <c r="CK16" s="46"/>
      <c r="CL16" s="46"/>
      <c r="CM16" s="46"/>
      <c r="CN16" s="46"/>
      <c r="CO16" s="46"/>
      <c r="CP16" s="46"/>
      <c r="CQ16" s="46"/>
      <c r="CR16" s="46"/>
      <c r="CS16" s="46"/>
      <c r="CT16" s="46"/>
      <c r="CU16" s="46"/>
      <c r="CV16" s="46"/>
      <c r="CW16" s="46"/>
      <c r="CX16" s="46"/>
      <c r="CY16" s="46"/>
      <c r="CZ16" s="46"/>
      <c r="DA16" s="46"/>
      <c r="DB16" s="46"/>
      <c r="DC16" s="46"/>
      <c r="DD16" s="46"/>
      <c r="DE16" s="46"/>
      <c r="DF16" s="46"/>
      <c r="DG16" s="46"/>
      <c r="DH16" s="46"/>
      <c r="DI16" s="46"/>
      <c r="DJ16" s="46"/>
      <c r="DK16" s="46"/>
      <c r="DL16" s="46"/>
      <c r="DM16" s="46"/>
      <c r="DN16" s="46"/>
      <c r="DO16" s="46"/>
      <c r="DP16" s="46"/>
      <c r="DQ16" s="46"/>
      <c r="DR16" s="46"/>
      <c r="DS16" s="46"/>
      <c r="DT16" s="46"/>
      <c r="DU16" s="46"/>
      <c r="DV16" s="46"/>
      <c r="DW16" s="46"/>
      <c r="DX16" s="46"/>
      <c r="DY16" s="46"/>
      <c r="DZ16" s="46"/>
      <c r="EA16" s="46"/>
      <c r="EB16" s="46"/>
      <c r="EC16" s="46"/>
      <c r="ED16" s="46"/>
      <c r="EE16" s="46"/>
      <c r="EF16" s="46"/>
      <c r="EG16" s="46"/>
      <c r="EH16" s="46"/>
      <c r="EI16" s="46"/>
      <c r="EJ16" s="46"/>
      <c r="EK16" s="46"/>
      <c r="EL16" s="46"/>
      <c r="EM16" s="46"/>
      <c r="EN16" s="46"/>
      <c r="EO16" s="46"/>
      <c r="EP16" s="46"/>
      <c r="EQ16" s="46"/>
      <c r="ER16" s="46"/>
      <c r="ES16" s="46"/>
      <c r="ET16" s="46"/>
      <c r="EU16" s="46"/>
      <c r="EV16" s="46"/>
      <c r="EW16" s="46"/>
      <c r="EX16" s="46"/>
      <c r="EY16" s="46"/>
      <c r="EZ16" s="46"/>
      <c r="FA16" s="46"/>
      <c r="FB16" s="46"/>
      <c r="FC16" s="46"/>
      <c r="FD16" s="46"/>
      <c r="FE16" s="46"/>
      <c r="FF16" s="46"/>
      <c r="FG16" s="46"/>
      <c r="FH16" s="46"/>
      <c r="FI16" s="46"/>
      <c r="FJ16" s="46"/>
      <c r="FK16" s="46"/>
      <c r="FL16" s="46"/>
      <c r="FM16" s="46"/>
      <c r="FN16" s="46"/>
      <c r="FO16" s="46"/>
      <c r="FP16" s="46"/>
      <c r="FQ16" s="46"/>
      <c r="FR16" s="46"/>
      <c r="FS16" s="46"/>
      <c r="FT16" s="46"/>
    </row>
    <row r="17" spans="1:176" s="3" customFormat="1" ht="30" customHeight="1" thickBot="1" x14ac:dyDescent="0.4">
      <c r="A17" s="20"/>
      <c r="B17" s="65" t="s">
        <v>27</v>
      </c>
      <c r="C17" s="66"/>
      <c r="D17" s="14">
        <v>1</v>
      </c>
      <c r="E17" s="55">
        <v>46082</v>
      </c>
      <c r="F17" s="55">
        <v>46102</v>
      </c>
      <c r="G17" s="45"/>
      <c r="H17" s="45">
        <f>IF(OR(ISBLANK(task_start),ISBLANK(task_end)),"",task_end-task_start+1)</f>
        <v>21</v>
      </c>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6"/>
      <c r="BQ17" s="46"/>
      <c r="BR17" s="46"/>
      <c r="BS17" s="46"/>
      <c r="BT17" s="46"/>
      <c r="BU17" s="46"/>
      <c r="BV17" s="46"/>
      <c r="BW17" s="46"/>
      <c r="BX17" s="46"/>
      <c r="BY17" s="46"/>
      <c r="BZ17" s="46"/>
      <c r="CA17" s="46"/>
      <c r="CB17" s="46"/>
      <c r="CC17" s="46"/>
      <c r="CD17" s="46"/>
      <c r="CE17" s="46"/>
      <c r="CF17" s="46"/>
      <c r="CG17" s="46"/>
      <c r="CH17" s="46"/>
      <c r="CI17" s="46"/>
      <c r="CJ17" s="46"/>
      <c r="CK17" s="46"/>
      <c r="CL17" s="46"/>
      <c r="CM17" s="46"/>
      <c r="CN17" s="46"/>
      <c r="CO17" s="46"/>
      <c r="CP17" s="46"/>
      <c r="CQ17" s="46"/>
      <c r="CR17" s="46"/>
      <c r="CS17" s="46"/>
      <c r="CT17" s="46"/>
      <c r="CU17" s="46"/>
      <c r="CV17" s="46"/>
      <c r="CW17" s="46"/>
      <c r="CX17" s="46"/>
      <c r="CY17" s="46"/>
      <c r="CZ17" s="46"/>
      <c r="DA17" s="46"/>
      <c r="DB17" s="46"/>
      <c r="DC17" s="46"/>
      <c r="DD17" s="46"/>
      <c r="DE17" s="46"/>
      <c r="DF17" s="46"/>
      <c r="DG17" s="46"/>
      <c r="DH17" s="46"/>
      <c r="DI17" s="46"/>
      <c r="DJ17" s="46"/>
      <c r="DK17" s="46"/>
      <c r="DL17" s="46"/>
      <c r="DM17" s="46"/>
      <c r="DN17" s="46"/>
      <c r="DO17" s="46"/>
      <c r="DP17" s="46"/>
      <c r="DQ17" s="46"/>
      <c r="DR17" s="46"/>
      <c r="DS17" s="46"/>
      <c r="DT17" s="46"/>
      <c r="DU17" s="46"/>
      <c r="DV17" s="46"/>
      <c r="DW17" s="46"/>
      <c r="DX17" s="46"/>
      <c r="DY17" s="46"/>
      <c r="DZ17" s="46"/>
      <c r="EA17" s="46"/>
      <c r="EB17" s="46"/>
      <c r="EC17" s="46"/>
      <c r="ED17" s="46"/>
      <c r="EE17" s="46"/>
      <c r="EF17" s="46"/>
      <c r="EG17" s="46"/>
      <c r="EH17" s="46"/>
      <c r="EI17" s="46"/>
      <c r="EJ17" s="46"/>
      <c r="EK17" s="46"/>
      <c r="EL17" s="46"/>
      <c r="EM17" s="46"/>
      <c r="EN17" s="46"/>
      <c r="EO17" s="46"/>
      <c r="EP17" s="46"/>
      <c r="EQ17" s="46"/>
      <c r="ER17" s="46"/>
      <c r="ES17" s="46"/>
      <c r="ET17" s="46"/>
      <c r="EU17" s="46"/>
      <c r="EV17" s="46"/>
      <c r="EW17" s="46"/>
      <c r="EX17" s="46"/>
      <c r="EY17" s="46"/>
      <c r="EZ17" s="46"/>
      <c r="FA17" s="46"/>
      <c r="FB17" s="46"/>
      <c r="FC17" s="46"/>
      <c r="FD17" s="46"/>
      <c r="FE17" s="46"/>
      <c r="FF17" s="46"/>
      <c r="FG17" s="46"/>
      <c r="FH17" s="46"/>
      <c r="FI17" s="46"/>
      <c r="FJ17" s="46"/>
      <c r="FK17" s="46"/>
      <c r="FL17" s="46"/>
      <c r="FM17" s="46"/>
      <c r="FN17" s="46"/>
      <c r="FO17" s="46"/>
      <c r="FP17" s="46"/>
      <c r="FQ17" s="46"/>
      <c r="FR17" s="46"/>
      <c r="FS17" s="46"/>
      <c r="FT17" s="46"/>
    </row>
    <row r="18" spans="1:176" s="3" customFormat="1" ht="30" customHeight="1" thickBot="1" x14ac:dyDescent="0.4">
      <c r="A18" s="20"/>
      <c r="B18" s="65" t="s">
        <v>28</v>
      </c>
      <c r="C18" s="66"/>
      <c r="D18" s="14">
        <v>1</v>
      </c>
      <c r="E18" s="55">
        <v>46088</v>
      </c>
      <c r="F18" s="55">
        <v>46102</v>
      </c>
      <c r="G18" s="45"/>
      <c r="H18" s="45">
        <f>IF(OR(ISBLANK(task_start),ISBLANK(task_end)),"",task_end-task_start+1)</f>
        <v>15</v>
      </c>
      <c r="I18" s="46"/>
      <c r="J18" s="46"/>
      <c r="K18" s="46"/>
      <c r="L18" s="46"/>
      <c r="M18" s="46"/>
      <c r="N18" s="46"/>
      <c r="O18" s="46"/>
      <c r="P18" s="46"/>
      <c r="Q18" s="46"/>
      <c r="R18" s="46"/>
      <c r="S18" s="46"/>
      <c r="T18" s="46"/>
      <c r="U18" s="46"/>
      <c r="V18" s="46"/>
      <c r="W18" s="46"/>
      <c r="X18" s="46"/>
      <c r="Y18" s="47"/>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46"/>
      <c r="BP18" s="46"/>
      <c r="BQ18" s="46"/>
      <c r="BR18" s="46"/>
      <c r="BS18" s="46"/>
      <c r="BT18" s="46"/>
      <c r="BU18" s="46"/>
      <c r="BV18" s="46"/>
      <c r="BW18" s="46"/>
      <c r="BX18" s="46"/>
      <c r="BY18" s="46"/>
      <c r="BZ18" s="46"/>
      <c r="CA18" s="46"/>
      <c r="CB18" s="46"/>
      <c r="CC18" s="46"/>
      <c r="CD18" s="46"/>
      <c r="CE18" s="46"/>
      <c r="CF18" s="46"/>
      <c r="CG18" s="46"/>
      <c r="CH18" s="46"/>
      <c r="CI18" s="46"/>
      <c r="CJ18" s="46"/>
      <c r="CK18" s="46"/>
      <c r="CL18" s="46"/>
      <c r="CM18" s="46"/>
      <c r="CN18" s="46"/>
      <c r="CO18" s="46"/>
      <c r="CP18" s="46"/>
      <c r="CQ18" s="46"/>
      <c r="CR18" s="46"/>
      <c r="CS18" s="46"/>
      <c r="CT18" s="46"/>
      <c r="CU18" s="46"/>
      <c r="CV18" s="46"/>
      <c r="CW18" s="46"/>
      <c r="CX18" s="46"/>
      <c r="CY18" s="46"/>
      <c r="CZ18" s="46"/>
      <c r="DA18" s="46"/>
      <c r="DB18" s="46"/>
      <c r="DC18" s="46"/>
      <c r="DD18" s="46"/>
      <c r="DE18" s="46"/>
      <c r="DF18" s="46"/>
      <c r="DG18" s="46"/>
      <c r="DH18" s="46"/>
      <c r="DI18" s="46"/>
      <c r="DJ18" s="46"/>
      <c r="DK18" s="46"/>
      <c r="DL18" s="46"/>
      <c r="DM18" s="46"/>
      <c r="DN18" s="46"/>
      <c r="DO18" s="46"/>
      <c r="DP18" s="46"/>
      <c r="DQ18" s="46"/>
      <c r="DR18" s="46"/>
      <c r="DS18" s="46"/>
      <c r="DT18" s="46"/>
      <c r="DU18" s="46"/>
      <c r="DV18" s="46"/>
      <c r="DW18" s="46"/>
      <c r="DX18" s="46"/>
      <c r="DY18" s="46"/>
      <c r="DZ18" s="46"/>
      <c r="EA18" s="46"/>
      <c r="EB18" s="46"/>
      <c r="EC18" s="46"/>
      <c r="ED18" s="46"/>
      <c r="EE18" s="46"/>
      <c r="EF18" s="46"/>
      <c r="EG18" s="46"/>
      <c r="EH18" s="46"/>
      <c r="EI18" s="46"/>
      <c r="EJ18" s="46"/>
      <c r="EK18" s="46"/>
      <c r="EL18" s="46"/>
      <c r="EM18" s="46"/>
      <c r="EN18" s="46"/>
      <c r="EO18" s="46"/>
      <c r="EP18" s="46"/>
      <c r="EQ18" s="46"/>
      <c r="ER18" s="46"/>
      <c r="ES18" s="46"/>
      <c r="ET18" s="46"/>
      <c r="EU18" s="46"/>
      <c r="EV18" s="46"/>
      <c r="EW18" s="46"/>
      <c r="EX18" s="46"/>
      <c r="EY18" s="46"/>
      <c r="EZ18" s="46"/>
      <c r="FA18" s="46"/>
      <c r="FB18" s="46"/>
      <c r="FC18" s="46"/>
      <c r="FD18" s="46"/>
      <c r="FE18" s="46"/>
      <c r="FF18" s="46"/>
      <c r="FG18" s="46"/>
      <c r="FH18" s="46"/>
      <c r="FI18" s="46"/>
      <c r="FJ18" s="46"/>
      <c r="FK18" s="46"/>
      <c r="FL18" s="46"/>
      <c r="FM18" s="46"/>
      <c r="FN18" s="46"/>
      <c r="FO18" s="46"/>
      <c r="FP18" s="46"/>
      <c r="FQ18" s="46"/>
      <c r="FR18" s="46"/>
      <c r="FS18" s="46"/>
      <c r="FT18" s="46"/>
    </row>
    <row r="19" spans="1:176" s="3" customFormat="1" ht="30" customHeight="1" thickBot="1" x14ac:dyDescent="0.4">
      <c r="A19" s="20"/>
      <c r="B19" s="65" t="s">
        <v>29</v>
      </c>
      <c r="C19" s="66"/>
      <c r="D19" s="14">
        <v>1</v>
      </c>
      <c r="E19" s="55">
        <v>46102</v>
      </c>
      <c r="F19" s="55">
        <v>46112</v>
      </c>
      <c r="G19" s="45"/>
      <c r="H19" s="45">
        <f>IF(OR(ISBLANK(task_start),ISBLANK(task_end)),"",task_end-task_start+1)</f>
        <v>11</v>
      </c>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c r="BM19" s="46"/>
      <c r="BN19" s="46"/>
      <c r="BO19" s="46"/>
      <c r="BP19" s="46"/>
      <c r="BQ19" s="46"/>
      <c r="BR19" s="46"/>
      <c r="BS19" s="46"/>
      <c r="BT19" s="46"/>
      <c r="BU19" s="46"/>
      <c r="BV19" s="46"/>
      <c r="BW19" s="46"/>
      <c r="BX19" s="46"/>
      <c r="BY19" s="46"/>
      <c r="BZ19" s="46"/>
      <c r="CA19" s="46"/>
      <c r="CB19" s="46"/>
      <c r="CC19" s="46"/>
      <c r="CD19" s="46"/>
      <c r="CE19" s="46"/>
      <c r="CF19" s="46"/>
      <c r="CG19" s="46"/>
      <c r="CH19" s="46"/>
      <c r="CI19" s="46"/>
      <c r="CJ19" s="46"/>
      <c r="CK19" s="46"/>
      <c r="CL19" s="46"/>
      <c r="CM19" s="46"/>
      <c r="CN19" s="46"/>
      <c r="CO19" s="46"/>
      <c r="CP19" s="46"/>
      <c r="CQ19" s="46"/>
      <c r="CR19" s="46"/>
      <c r="CS19" s="46"/>
      <c r="CT19" s="46"/>
      <c r="CU19" s="46"/>
      <c r="CV19" s="46"/>
      <c r="CW19" s="46"/>
      <c r="CX19" s="46"/>
      <c r="CY19" s="46"/>
      <c r="CZ19" s="46"/>
      <c r="DA19" s="46"/>
      <c r="DB19" s="46"/>
      <c r="DC19" s="46"/>
      <c r="DD19" s="46"/>
      <c r="DE19" s="46"/>
      <c r="DF19" s="46"/>
      <c r="DG19" s="46"/>
      <c r="DH19" s="46"/>
      <c r="DI19" s="46"/>
      <c r="DJ19" s="46"/>
      <c r="DK19" s="46"/>
      <c r="DL19" s="46"/>
      <c r="DM19" s="46"/>
      <c r="DN19" s="46"/>
      <c r="DO19" s="46"/>
      <c r="DP19" s="46"/>
      <c r="DQ19" s="46"/>
      <c r="DR19" s="46"/>
      <c r="DS19" s="46"/>
      <c r="DT19" s="46"/>
      <c r="DU19" s="46"/>
      <c r="DV19" s="46"/>
      <c r="DW19" s="46"/>
      <c r="DX19" s="46"/>
      <c r="DY19" s="46"/>
      <c r="DZ19" s="46"/>
      <c r="EA19" s="46"/>
      <c r="EB19" s="46"/>
      <c r="EC19" s="46"/>
      <c r="ED19" s="46"/>
      <c r="EE19" s="46"/>
      <c r="EF19" s="46"/>
      <c r="EG19" s="46"/>
      <c r="EH19" s="46"/>
      <c r="EI19" s="46"/>
      <c r="EJ19" s="46"/>
      <c r="EK19" s="46"/>
      <c r="EL19" s="46"/>
      <c r="EM19" s="46"/>
      <c r="EN19" s="46"/>
      <c r="EO19" s="46"/>
      <c r="EP19" s="46"/>
      <c r="EQ19" s="46"/>
      <c r="ER19" s="46"/>
      <c r="ES19" s="46"/>
      <c r="ET19" s="46"/>
      <c r="EU19" s="46"/>
      <c r="EV19" s="46"/>
      <c r="EW19" s="46"/>
      <c r="EX19" s="46"/>
      <c r="EY19" s="46"/>
      <c r="EZ19" s="46"/>
      <c r="FA19" s="46"/>
      <c r="FB19" s="46"/>
      <c r="FC19" s="46"/>
      <c r="FD19" s="46"/>
      <c r="FE19" s="46"/>
      <c r="FF19" s="46"/>
      <c r="FG19" s="46"/>
      <c r="FH19" s="46"/>
      <c r="FI19" s="46"/>
      <c r="FJ19" s="46"/>
      <c r="FK19" s="46"/>
      <c r="FL19" s="46"/>
      <c r="FM19" s="46"/>
      <c r="FN19" s="46"/>
      <c r="FO19" s="46"/>
      <c r="FP19" s="46"/>
      <c r="FQ19" s="46"/>
      <c r="FR19" s="46"/>
      <c r="FS19" s="46"/>
      <c r="FT19" s="46"/>
    </row>
    <row r="20" spans="1:176" s="3" customFormat="1" ht="30" customHeight="1" thickBot="1" x14ac:dyDescent="0.4">
      <c r="A20" s="20" t="s">
        <v>30</v>
      </c>
      <c r="B20" s="71" t="s">
        <v>31</v>
      </c>
      <c r="C20" s="27"/>
      <c r="D20" s="16"/>
      <c r="E20" s="56"/>
      <c r="F20" s="57"/>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35"/>
      <c r="BN20" s="35"/>
      <c r="BO20" s="35"/>
      <c r="BP20" s="35"/>
      <c r="BQ20" s="35"/>
      <c r="BR20" s="35"/>
      <c r="BS20" s="35"/>
      <c r="BT20" s="35"/>
      <c r="BU20" s="35"/>
      <c r="BV20" s="35"/>
      <c r="BW20" s="35"/>
      <c r="BX20" s="35"/>
      <c r="BY20" s="35"/>
      <c r="BZ20" s="35"/>
      <c r="CA20" s="35"/>
      <c r="CB20" s="35"/>
      <c r="CC20" s="35"/>
      <c r="CD20" s="35"/>
      <c r="CE20" s="35"/>
      <c r="CF20" s="35"/>
      <c r="CG20" s="35"/>
      <c r="CH20" s="35"/>
      <c r="CI20" s="35"/>
      <c r="CJ20" s="35"/>
      <c r="CK20" s="35"/>
      <c r="CL20" s="35"/>
      <c r="CM20" s="35"/>
      <c r="CN20" s="35"/>
      <c r="CO20" s="35"/>
      <c r="CP20" s="35"/>
      <c r="CQ20" s="35"/>
      <c r="CR20" s="35"/>
      <c r="CS20" s="35"/>
      <c r="CT20" s="35"/>
      <c r="CU20" s="35"/>
      <c r="CV20" s="35"/>
      <c r="CW20" s="35"/>
      <c r="CX20" s="35"/>
      <c r="CY20" s="35"/>
      <c r="CZ20" s="35"/>
      <c r="DA20" s="35"/>
      <c r="DB20" s="35"/>
      <c r="DC20" s="35"/>
      <c r="DD20" s="35"/>
      <c r="DE20" s="35"/>
      <c r="DF20" s="35"/>
      <c r="DG20" s="35"/>
      <c r="DH20" s="35"/>
      <c r="DI20" s="35"/>
      <c r="DJ20" s="35"/>
      <c r="DK20" s="35"/>
      <c r="DL20" s="35"/>
      <c r="DM20" s="35"/>
      <c r="DN20" s="35"/>
      <c r="DO20" s="35"/>
      <c r="DP20" s="35"/>
      <c r="DQ20" s="35"/>
      <c r="DR20" s="35"/>
      <c r="DS20" s="35"/>
      <c r="DT20" s="35"/>
      <c r="DU20" s="35"/>
      <c r="DV20" s="35"/>
      <c r="DW20" s="35"/>
      <c r="DX20" s="35"/>
      <c r="DY20" s="35"/>
      <c r="DZ20" s="35"/>
      <c r="EA20" s="35"/>
      <c r="EB20" s="35"/>
      <c r="EC20" s="35"/>
      <c r="ED20" s="35"/>
      <c r="EE20" s="35"/>
      <c r="EF20" s="35"/>
      <c r="EG20" s="35"/>
      <c r="EH20" s="35"/>
      <c r="EI20" s="35"/>
      <c r="EJ20" s="35"/>
      <c r="EK20" s="35"/>
      <c r="EL20" s="35"/>
      <c r="EM20" s="35"/>
      <c r="EN20" s="35"/>
      <c r="EO20" s="35"/>
      <c r="EP20" s="35"/>
      <c r="EQ20" s="35"/>
      <c r="ER20" s="35"/>
      <c r="ES20" s="35"/>
      <c r="ET20" s="35"/>
      <c r="EU20" s="35"/>
      <c r="EV20" s="35"/>
      <c r="EW20" s="35"/>
      <c r="EX20" s="35"/>
      <c r="EY20" s="35"/>
      <c r="EZ20" s="35"/>
      <c r="FA20" s="35"/>
      <c r="FB20" s="35"/>
      <c r="FC20" s="35"/>
      <c r="FD20" s="35"/>
      <c r="FE20" s="35"/>
      <c r="FF20" s="35"/>
      <c r="FG20" s="35"/>
      <c r="FH20" s="35"/>
      <c r="FI20" s="35"/>
      <c r="FJ20" s="35"/>
      <c r="FK20" s="35"/>
      <c r="FL20" s="35"/>
      <c r="FM20" s="35"/>
      <c r="FN20" s="35"/>
      <c r="FO20" s="35"/>
      <c r="FP20" s="35"/>
      <c r="FQ20" s="35"/>
      <c r="FR20" s="35"/>
      <c r="FS20" s="35"/>
      <c r="FT20" s="35"/>
    </row>
    <row r="21" spans="1:176" s="3" customFormat="1" ht="30" customHeight="1" thickBot="1" x14ac:dyDescent="0.4">
      <c r="A21" s="20"/>
      <c r="B21" s="67" t="s">
        <v>32</v>
      </c>
      <c r="C21" s="28"/>
      <c r="D21" s="14">
        <v>1</v>
      </c>
      <c r="E21" s="58">
        <v>46113</v>
      </c>
      <c r="F21" s="58">
        <v>46126</v>
      </c>
      <c r="G21" s="48"/>
      <c r="H21" s="48"/>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9"/>
      <c r="BO21" s="49"/>
      <c r="BP21" s="49"/>
      <c r="BQ21" s="49"/>
      <c r="BR21" s="49"/>
      <c r="BS21" s="49"/>
      <c r="BT21" s="49"/>
      <c r="BU21" s="49"/>
      <c r="BV21" s="49"/>
      <c r="BW21" s="49"/>
      <c r="BX21" s="49"/>
      <c r="BY21" s="49"/>
      <c r="BZ21" s="49"/>
      <c r="CA21" s="49"/>
      <c r="CB21" s="49"/>
      <c r="CC21" s="49"/>
      <c r="CD21" s="49"/>
      <c r="CE21" s="49"/>
      <c r="CF21" s="49"/>
      <c r="CG21" s="49"/>
      <c r="CH21" s="49"/>
      <c r="CI21" s="49"/>
      <c r="CJ21" s="49"/>
      <c r="CK21" s="49"/>
      <c r="CL21" s="49"/>
      <c r="CM21" s="49"/>
      <c r="CN21" s="49"/>
      <c r="CO21" s="49"/>
      <c r="CP21" s="49"/>
      <c r="CQ21" s="49"/>
      <c r="CR21" s="49"/>
      <c r="CS21" s="49"/>
      <c r="CT21" s="49"/>
      <c r="CU21" s="49"/>
      <c r="CV21" s="49"/>
      <c r="CW21" s="49"/>
      <c r="CX21" s="49"/>
      <c r="CY21" s="49"/>
      <c r="CZ21" s="49"/>
      <c r="DA21" s="49"/>
      <c r="DB21" s="49"/>
      <c r="DC21" s="49"/>
      <c r="DD21" s="49"/>
      <c r="DE21" s="49"/>
      <c r="DF21" s="49"/>
      <c r="DG21" s="49"/>
      <c r="DH21" s="49"/>
      <c r="DI21" s="49"/>
      <c r="DJ21" s="49"/>
      <c r="DK21" s="49"/>
      <c r="DL21" s="49"/>
      <c r="DM21" s="49"/>
      <c r="DN21" s="49"/>
      <c r="DO21" s="49"/>
      <c r="DP21" s="49"/>
      <c r="DQ21" s="49"/>
      <c r="DR21" s="49"/>
      <c r="DS21" s="49"/>
      <c r="DT21" s="49"/>
      <c r="DU21" s="49"/>
      <c r="DV21" s="49"/>
      <c r="DW21" s="49"/>
      <c r="DX21" s="49"/>
      <c r="DY21" s="49"/>
      <c r="DZ21" s="49"/>
      <c r="EA21" s="49"/>
      <c r="EB21" s="49"/>
      <c r="EC21" s="49"/>
      <c r="ED21" s="49"/>
      <c r="EE21" s="49"/>
      <c r="EF21" s="49"/>
      <c r="EG21" s="49"/>
      <c r="EH21" s="49"/>
      <c r="EI21" s="49"/>
      <c r="EJ21" s="49"/>
      <c r="EK21" s="49"/>
      <c r="EL21" s="49"/>
      <c r="EM21" s="49"/>
      <c r="EN21" s="49"/>
      <c r="EO21" s="49"/>
      <c r="EP21" s="49"/>
      <c r="EQ21" s="49"/>
      <c r="ER21" s="49"/>
      <c r="ES21" s="49"/>
      <c r="ET21" s="49"/>
      <c r="EU21" s="49"/>
      <c r="EV21" s="49"/>
      <c r="EW21" s="49"/>
      <c r="EX21" s="49"/>
      <c r="EY21" s="49"/>
      <c r="EZ21" s="49"/>
      <c r="FA21" s="49"/>
      <c r="FB21" s="49"/>
      <c r="FC21" s="49"/>
      <c r="FD21" s="49"/>
      <c r="FE21" s="49"/>
      <c r="FF21" s="49"/>
      <c r="FG21" s="49"/>
      <c r="FH21" s="49"/>
      <c r="FI21" s="49"/>
      <c r="FJ21" s="49"/>
      <c r="FK21" s="49"/>
      <c r="FL21" s="49"/>
      <c r="FM21" s="49"/>
      <c r="FN21" s="49"/>
      <c r="FO21" s="49"/>
      <c r="FP21" s="49"/>
      <c r="FQ21" s="49"/>
      <c r="FR21" s="49"/>
      <c r="FS21" s="49"/>
      <c r="FT21" s="49"/>
    </row>
    <row r="22" spans="1:176" s="3" customFormat="1" ht="30" customHeight="1" thickBot="1" x14ac:dyDescent="0.4">
      <c r="A22" s="20"/>
      <c r="B22" s="67" t="s">
        <v>45</v>
      </c>
      <c r="C22" s="28"/>
      <c r="D22" s="14">
        <v>1</v>
      </c>
      <c r="E22" s="58">
        <v>46119</v>
      </c>
      <c r="F22" s="58">
        <v>46133</v>
      </c>
      <c r="G22" s="48"/>
      <c r="H22" s="48">
        <f>IF(OR(ISBLANK(task_start),ISBLANK(task_end)),"",task_end-task_start+1)</f>
        <v>15</v>
      </c>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49"/>
      <c r="BP22" s="49"/>
      <c r="BQ22" s="49"/>
      <c r="BR22" s="49"/>
      <c r="BS22" s="49"/>
      <c r="BT22" s="49"/>
      <c r="BU22" s="49"/>
      <c r="BV22" s="49"/>
      <c r="BW22" s="49"/>
      <c r="BX22" s="49"/>
      <c r="BY22" s="49"/>
      <c r="BZ22" s="49"/>
      <c r="CA22" s="49"/>
      <c r="CB22" s="49"/>
      <c r="CC22" s="49"/>
      <c r="CD22" s="49"/>
      <c r="CE22" s="49"/>
      <c r="CF22" s="49"/>
      <c r="CG22" s="49"/>
      <c r="CH22" s="49"/>
      <c r="CI22" s="49"/>
      <c r="CJ22" s="49"/>
      <c r="CK22" s="49"/>
      <c r="CL22" s="49"/>
      <c r="CM22" s="49"/>
      <c r="CN22" s="49"/>
      <c r="CO22" s="49"/>
      <c r="CP22" s="49"/>
      <c r="CQ22" s="49"/>
      <c r="CR22" s="49"/>
      <c r="CS22" s="49"/>
      <c r="CT22" s="49"/>
      <c r="CU22" s="49"/>
      <c r="CV22" s="49"/>
      <c r="CW22" s="49"/>
      <c r="CX22" s="49"/>
      <c r="CY22" s="49"/>
      <c r="CZ22" s="49"/>
      <c r="DA22" s="49"/>
      <c r="DB22" s="49"/>
      <c r="DC22" s="49"/>
      <c r="DD22" s="49"/>
      <c r="DE22" s="49"/>
      <c r="DF22" s="49"/>
      <c r="DG22" s="49"/>
      <c r="DH22" s="49"/>
      <c r="DI22" s="49"/>
      <c r="DJ22" s="49"/>
      <c r="DK22" s="49"/>
      <c r="DL22" s="49"/>
      <c r="DM22" s="49"/>
      <c r="DN22" s="49"/>
      <c r="DO22" s="49"/>
      <c r="DP22" s="49"/>
      <c r="DQ22" s="49"/>
      <c r="DR22" s="49"/>
      <c r="DS22" s="49"/>
      <c r="DT22" s="49"/>
      <c r="DU22" s="49"/>
      <c r="DV22" s="49"/>
      <c r="DW22" s="49"/>
      <c r="DX22" s="49"/>
      <c r="DY22" s="49"/>
      <c r="DZ22" s="49"/>
      <c r="EA22" s="49"/>
      <c r="EB22" s="49"/>
      <c r="EC22" s="49"/>
      <c r="ED22" s="49"/>
      <c r="EE22" s="49"/>
      <c r="EF22" s="49"/>
      <c r="EG22" s="49"/>
      <c r="EH22" s="49"/>
      <c r="EI22" s="49"/>
      <c r="EJ22" s="49"/>
      <c r="EK22" s="49"/>
      <c r="EL22" s="49"/>
      <c r="EM22" s="49"/>
      <c r="EN22" s="49"/>
      <c r="EO22" s="49"/>
      <c r="EP22" s="49"/>
      <c r="EQ22" s="49"/>
      <c r="ER22" s="49"/>
      <c r="ES22" s="49"/>
      <c r="ET22" s="49"/>
      <c r="EU22" s="49"/>
      <c r="EV22" s="49"/>
      <c r="EW22" s="49"/>
      <c r="EX22" s="49"/>
      <c r="EY22" s="49"/>
      <c r="EZ22" s="49"/>
      <c r="FA22" s="49"/>
      <c r="FB22" s="49"/>
      <c r="FC22" s="49"/>
      <c r="FD22" s="49"/>
      <c r="FE22" s="49"/>
      <c r="FF22" s="49"/>
      <c r="FG22" s="49"/>
      <c r="FH22" s="49"/>
      <c r="FI22" s="49"/>
      <c r="FJ22" s="49"/>
      <c r="FK22" s="49"/>
      <c r="FL22" s="49"/>
      <c r="FM22" s="49"/>
      <c r="FN22" s="49"/>
      <c r="FO22" s="49"/>
      <c r="FP22" s="49"/>
      <c r="FQ22" s="49"/>
      <c r="FR22" s="49"/>
      <c r="FS22" s="49"/>
      <c r="FT22" s="49"/>
    </row>
    <row r="23" spans="1:176" s="3" customFormat="1" ht="30" customHeight="1" thickBot="1" x14ac:dyDescent="0.4">
      <c r="A23" s="20"/>
      <c r="B23" s="67" t="s">
        <v>44</v>
      </c>
      <c r="C23" s="28"/>
      <c r="D23" s="14">
        <v>1</v>
      </c>
      <c r="E23" s="58">
        <v>46133</v>
      </c>
      <c r="F23" s="58">
        <v>46149</v>
      </c>
      <c r="G23" s="48"/>
      <c r="H23" s="48">
        <f>IF(OR(ISBLANK(task_start),ISBLANK(task_end)),"",task_end-task_start+1)</f>
        <v>17</v>
      </c>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c r="BL23" s="49"/>
      <c r="BM23" s="49"/>
      <c r="BN23" s="49"/>
      <c r="BO23" s="49"/>
      <c r="BP23" s="49"/>
      <c r="BQ23" s="49"/>
      <c r="BR23" s="49"/>
      <c r="BS23" s="49"/>
      <c r="BT23" s="49"/>
      <c r="BU23" s="49"/>
      <c r="BV23" s="49"/>
      <c r="BW23" s="49"/>
      <c r="BX23" s="49"/>
      <c r="BY23" s="49"/>
      <c r="BZ23" s="49"/>
      <c r="CA23" s="49"/>
      <c r="CB23" s="49"/>
      <c r="CC23" s="49"/>
      <c r="CD23" s="49"/>
      <c r="CE23" s="49"/>
      <c r="CF23" s="49"/>
      <c r="CG23" s="49"/>
      <c r="CH23" s="49"/>
      <c r="CI23" s="49"/>
      <c r="CJ23" s="49"/>
      <c r="CK23" s="49"/>
      <c r="CL23" s="49"/>
      <c r="CM23" s="49"/>
      <c r="CN23" s="49"/>
      <c r="CO23" s="49"/>
      <c r="CP23" s="49"/>
      <c r="CQ23" s="49"/>
      <c r="CR23" s="49"/>
      <c r="CS23" s="49"/>
      <c r="CT23" s="49"/>
      <c r="CU23" s="49"/>
      <c r="CV23" s="49"/>
      <c r="CW23" s="49"/>
      <c r="CX23" s="49"/>
      <c r="CY23" s="49"/>
      <c r="CZ23" s="49"/>
      <c r="DA23" s="49"/>
      <c r="DB23" s="49"/>
      <c r="DC23" s="49"/>
      <c r="DD23" s="49"/>
      <c r="DE23" s="49"/>
      <c r="DF23" s="49"/>
      <c r="DG23" s="49"/>
      <c r="DH23" s="49"/>
      <c r="DI23" s="49"/>
      <c r="DJ23" s="49"/>
      <c r="DK23" s="49"/>
      <c r="DL23" s="49"/>
      <c r="DM23" s="49"/>
      <c r="DN23" s="49"/>
      <c r="DO23" s="49"/>
      <c r="DP23" s="49"/>
      <c r="DQ23" s="49"/>
      <c r="DR23" s="49"/>
      <c r="DS23" s="49"/>
      <c r="DT23" s="49"/>
      <c r="DU23" s="49"/>
      <c r="DV23" s="49"/>
      <c r="DW23" s="49"/>
      <c r="DX23" s="49"/>
      <c r="DY23" s="49"/>
      <c r="DZ23" s="49"/>
      <c r="EA23" s="49"/>
      <c r="EB23" s="49"/>
      <c r="EC23" s="49"/>
      <c r="ED23" s="49"/>
      <c r="EE23" s="49"/>
      <c r="EF23" s="49"/>
      <c r="EG23" s="49"/>
      <c r="EH23" s="49"/>
      <c r="EI23" s="49"/>
      <c r="EJ23" s="49"/>
      <c r="EK23" s="49"/>
      <c r="EL23" s="49"/>
      <c r="EM23" s="49"/>
      <c r="EN23" s="49"/>
      <c r="EO23" s="49"/>
      <c r="EP23" s="49"/>
      <c r="EQ23" s="49"/>
      <c r="ER23" s="49"/>
      <c r="ES23" s="49"/>
      <c r="ET23" s="49"/>
      <c r="EU23" s="49"/>
      <c r="EV23" s="49"/>
      <c r="EW23" s="49"/>
      <c r="EX23" s="49"/>
      <c r="EY23" s="49"/>
      <c r="EZ23" s="49"/>
      <c r="FA23" s="49"/>
      <c r="FB23" s="49"/>
      <c r="FC23" s="49"/>
      <c r="FD23" s="49"/>
      <c r="FE23" s="49"/>
      <c r="FF23" s="49"/>
      <c r="FG23" s="49"/>
      <c r="FH23" s="49"/>
      <c r="FI23" s="49"/>
      <c r="FJ23" s="49"/>
      <c r="FK23" s="49"/>
      <c r="FL23" s="49"/>
      <c r="FM23" s="49"/>
      <c r="FN23" s="49"/>
      <c r="FO23" s="49"/>
      <c r="FP23" s="49"/>
      <c r="FQ23" s="49"/>
      <c r="FR23" s="49"/>
      <c r="FS23" s="49"/>
      <c r="FT23" s="49"/>
    </row>
    <row r="24" spans="1:176" s="3" customFormat="1" ht="30" customHeight="1" thickBot="1" x14ac:dyDescent="0.4">
      <c r="A24" s="20"/>
      <c r="B24" s="67" t="s">
        <v>33</v>
      </c>
      <c r="C24" s="28"/>
      <c r="D24" s="14">
        <v>1</v>
      </c>
      <c r="E24" s="58">
        <v>46126</v>
      </c>
      <c r="F24" s="58">
        <v>46152</v>
      </c>
      <c r="G24" s="48"/>
      <c r="H24" s="48">
        <f>IF(OR(ISBLANK(task_start),ISBLANK(task_end)),"",task_end-task_start+1)</f>
        <v>27</v>
      </c>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c r="BK24" s="49"/>
      <c r="BL24" s="49"/>
      <c r="BM24" s="49"/>
      <c r="BN24" s="49"/>
      <c r="BO24" s="49"/>
      <c r="BP24" s="49"/>
      <c r="BQ24" s="49"/>
      <c r="BR24" s="49"/>
      <c r="BS24" s="49"/>
      <c r="BT24" s="49"/>
      <c r="BU24" s="49"/>
      <c r="BV24" s="49"/>
      <c r="BW24" s="49"/>
      <c r="BX24" s="49"/>
      <c r="BY24" s="49"/>
      <c r="BZ24" s="49"/>
      <c r="CA24" s="49"/>
      <c r="CB24" s="49"/>
      <c r="CC24" s="49"/>
      <c r="CD24" s="49"/>
      <c r="CE24" s="49"/>
      <c r="CF24" s="49"/>
      <c r="CG24" s="49"/>
      <c r="CH24" s="49"/>
      <c r="CI24" s="49"/>
      <c r="CJ24" s="49"/>
      <c r="CK24" s="49"/>
      <c r="CL24" s="49"/>
      <c r="CM24" s="49"/>
      <c r="CN24" s="49"/>
      <c r="CO24" s="49"/>
      <c r="CP24" s="49"/>
      <c r="CQ24" s="49"/>
      <c r="CR24" s="49"/>
      <c r="CS24" s="49"/>
      <c r="CT24" s="49"/>
      <c r="CU24" s="49"/>
      <c r="CV24" s="49"/>
      <c r="CW24" s="49"/>
      <c r="CX24" s="49"/>
      <c r="CY24" s="49"/>
      <c r="CZ24" s="49"/>
      <c r="DA24" s="49"/>
      <c r="DB24" s="49"/>
      <c r="DC24" s="49"/>
      <c r="DD24" s="49"/>
      <c r="DE24" s="49"/>
      <c r="DF24" s="49"/>
      <c r="DG24" s="49"/>
      <c r="DH24" s="49"/>
      <c r="DI24" s="49"/>
      <c r="DJ24" s="49"/>
      <c r="DK24" s="49"/>
      <c r="DL24" s="49"/>
      <c r="DM24" s="49"/>
      <c r="DN24" s="49"/>
      <c r="DO24" s="49"/>
      <c r="DP24" s="49"/>
      <c r="DQ24" s="49"/>
      <c r="DR24" s="49"/>
      <c r="DS24" s="49"/>
      <c r="DT24" s="49"/>
      <c r="DU24" s="49"/>
      <c r="DV24" s="49"/>
      <c r="DW24" s="49"/>
      <c r="DX24" s="49"/>
      <c r="DY24" s="49"/>
      <c r="DZ24" s="49"/>
      <c r="EA24" s="49"/>
      <c r="EB24" s="49"/>
      <c r="EC24" s="49"/>
      <c r="ED24" s="49"/>
      <c r="EE24" s="49"/>
      <c r="EF24" s="49"/>
      <c r="EG24" s="49"/>
      <c r="EH24" s="49"/>
      <c r="EI24" s="49"/>
      <c r="EJ24" s="49"/>
      <c r="EK24" s="49"/>
      <c r="EL24" s="49"/>
      <c r="EM24" s="49"/>
      <c r="EN24" s="49"/>
      <c r="EO24" s="49"/>
      <c r="EP24" s="49"/>
      <c r="EQ24" s="49"/>
      <c r="ER24" s="49"/>
      <c r="ES24" s="49"/>
      <c r="ET24" s="49"/>
      <c r="EU24" s="49"/>
      <c r="EV24" s="49"/>
      <c r="EW24" s="49"/>
      <c r="EX24" s="49"/>
      <c r="EY24" s="49"/>
      <c r="EZ24" s="49"/>
      <c r="FA24" s="49"/>
      <c r="FB24" s="49"/>
      <c r="FC24" s="49"/>
      <c r="FD24" s="49"/>
      <c r="FE24" s="49"/>
      <c r="FF24" s="49"/>
      <c r="FG24" s="49"/>
      <c r="FH24" s="49"/>
      <c r="FI24" s="49"/>
      <c r="FJ24" s="49"/>
      <c r="FK24" s="49"/>
      <c r="FL24" s="49"/>
      <c r="FM24" s="49"/>
      <c r="FN24" s="49"/>
      <c r="FO24" s="49"/>
      <c r="FP24" s="49"/>
      <c r="FQ24" s="49"/>
      <c r="FR24" s="49"/>
      <c r="FS24" s="49"/>
      <c r="FT24" s="49"/>
    </row>
    <row r="25" spans="1:176" s="3" customFormat="1" ht="30" customHeight="1" thickBot="1" x14ac:dyDescent="0.4">
      <c r="A25" s="20"/>
      <c r="B25" s="67" t="s">
        <v>46</v>
      </c>
      <c r="C25" s="28"/>
      <c r="D25" s="14">
        <v>1</v>
      </c>
      <c r="E25" s="58">
        <v>46140</v>
      </c>
      <c r="F25" s="58">
        <v>46152</v>
      </c>
      <c r="G25" s="48"/>
      <c r="H25" s="48">
        <f>IF(OR(ISBLANK(task_start),ISBLANK(task_end)),"",task_end-task_start+1)</f>
        <v>13</v>
      </c>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9"/>
      <c r="AU25" s="49"/>
      <c r="AV25" s="49"/>
      <c r="AW25" s="49"/>
      <c r="AX25" s="49"/>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49"/>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49"/>
      <c r="DG25" s="49"/>
      <c r="DH25" s="49"/>
      <c r="DI25" s="49"/>
      <c r="DJ25" s="49"/>
      <c r="DK25" s="49"/>
      <c r="DL25" s="49"/>
      <c r="DM25" s="49"/>
      <c r="DN25" s="49"/>
      <c r="DO25" s="49"/>
      <c r="DP25" s="49"/>
      <c r="DQ25" s="49"/>
      <c r="DR25" s="49"/>
      <c r="DS25" s="49"/>
      <c r="DT25" s="49"/>
      <c r="DU25" s="49"/>
      <c r="DV25" s="49"/>
      <c r="DW25" s="49"/>
      <c r="DX25" s="49"/>
      <c r="DY25" s="49"/>
      <c r="DZ25" s="49"/>
      <c r="EA25" s="49"/>
      <c r="EB25" s="49"/>
      <c r="EC25" s="49"/>
      <c r="ED25" s="49"/>
      <c r="EE25" s="49"/>
      <c r="EF25" s="49"/>
      <c r="EG25" s="49"/>
      <c r="EH25" s="49"/>
      <c r="EI25" s="49"/>
      <c r="EJ25" s="49"/>
      <c r="EK25" s="49"/>
      <c r="EL25" s="49"/>
      <c r="EM25" s="49"/>
      <c r="EN25" s="49"/>
      <c r="EO25" s="49"/>
      <c r="EP25" s="49"/>
      <c r="EQ25" s="49"/>
      <c r="ER25" s="49"/>
      <c r="ES25" s="49"/>
      <c r="ET25" s="49"/>
      <c r="EU25" s="49"/>
      <c r="EV25" s="49"/>
      <c r="EW25" s="49"/>
      <c r="EX25" s="49"/>
      <c r="EY25" s="49"/>
      <c r="EZ25" s="49"/>
      <c r="FA25" s="49"/>
      <c r="FB25" s="49"/>
      <c r="FC25" s="49"/>
      <c r="FD25" s="49"/>
      <c r="FE25" s="49"/>
      <c r="FF25" s="49"/>
      <c r="FG25" s="49"/>
      <c r="FH25" s="49"/>
      <c r="FI25" s="49"/>
      <c r="FJ25" s="49"/>
      <c r="FK25" s="49"/>
      <c r="FL25" s="49"/>
      <c r="FM25" s="49"/>
      <c r="FN25" s="49"/>
      <c r="FO25" s="49"/>
      <c r="FP25" s="49"/>
      <c r="FQ25" s="49"/>
      <c r="FR25" s="49"/>
      <c r="FS25" s="49"/>
      <c r="FT25" s="49"/>
    </row>
    <row r="26" spans="1:176" s="3" customFormat="1" ht="30" customHeight="1" thickBot="1" x14ac:dyDescent="0.4">
      <c r="A26" s="20" t="s">
        <v>30</v>
      </c>
      <c r="B26" s="72" t="s">
        <v>34</v>
      </c>
      <c r="C26" s="29"/>
      <c r="D26" s="17"/>
      <c r="E26" s="59"/>
      <c r="F26" s="60"/>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row>
    <row r="27" spans="1:176" s="3" customFormat="1" ht="30" customHeight="1" thickBot="1" x14ac:dyDescent="0.4">
      <c r="A27" s="20"/>
      <c r="B27" s="68" t="s">
        <v>35</v>
      </c>
      <c r="C27" s="69"/>
      <c r="D27" s="14">
        <v>1</v>
      </c>
      <c r="E27" s="61">
        <v>46113</v>
      </c>
      <c r="F27" s="61">
        <v>46157</v>
      </c>
      <c r="G27" s="50"/>
      <c r="H27" s="50">
        <f>IF(OR(ISBLANK(task_start),ISBLANK(task_end)),"",task_end-task_start+1)</f>
        <v>45</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c r="CO27" s="51"/>
      <c r="CP27" s="51"/>
      <c r="CQ27" s="51"/>
      <c r="CR27" s="51"/>
      <c r="CS27" s="51"/>
      <c r="CT27" s="51"/>
      <c r="CU27" s="51"/>
      <c r="CV27" s="51"/>
      <c r="CW27" s="51"/>
      <c r="CX27" s="51"/>
      <c r="CY27" s="51"/>
      <c r="CZ27" s="51"/>
      <c r="DA27" s="51"/>
      <c r="DB27" s="51"/>
      <c r="DC27" s="51"/>
      <c r="DD27" s="51"/>
      <c r="DE27" s="51"/>
      <c r="DF27" s="51"/>
      <c r="DG27" s="51"/>
      <c r="DH27" s="51"/>
      <c r="DI27" s="51"/>
      <c r="DJ27" s="51"/>
      <c r="DK27" s="51"/>
      <c r="DL27" s="51"/>
      <c r="DM27" s="51"/>
      <c r="DN27" s="51"/>
      <c r="DO27" s="51"/>
      <c r="DP27" s="51"/>
      <c r="DQ27" s="51"/>
      <c r="DR27" s="51"/>
      <c r="DS27" s="51"/>
      <c r="DT27" s="51"/>
      <c r="DU27" s="51"/>
      <c r="DV27" s="51"/>
      <c r="DW27" s="51"/>
      <c r="DX27" s="51"/>
      <c r="DY27" s="51"/>
      <c r="DZ27" s="51"/>
      <c r="EA27" s="51"/>
      <c r="EB27" s="51"/>
      <c r="EC27" s="51"/>
      <c r="ED27" s="51"/>
      <c r="EE27" s="51"/>
      <c r="EF27" s="51"/>
      <c r="EG27" s="51"/>
      <c r="EH27" s="51"/>
      <c r="EI27" s="51"/>
      <c r="EJ27" s="51"/>
      <c r="EK27" s="51"/>
      <c r="EL27" s="51"/>
      <c r="EM27" s="51"/>
      <c r="EN27" s="51"/>
      <c r="EO27" s="51"/>
      <c r="EP27" s="51"/>
      <c r="EQ27" s="51"/>
      <c r="ER27" s="51"/>
      <c r="ES27" s="51"/>
      <c r="ET27" s="51"/>
      <c r="EU27" s="51"/>
      <c r="EV27" s="51"/>
      <c r="EW27" s="51"/>
      <c r="EX27" s="51"/>
      <c r="EY27" s="51"/>
      <c r="EZ27" s="51"/>
      <c r="FA27" s="51"/>
      <c r="FB27" s="51"/>
      <c r="FC27" s="51"/>
      <c r="FD27" s="51"/>
      <c r="FE27" s="51"/>
      <c r="FF27" s="51"/>
      <c r="FG27" s="51"/>
      <c r="FH27" s="51"/>
      <c r="FI27" s="51"/>
      <c r="FJ27" s="51"/>
      <c r="FK27" s="51"/>
      <c r="FL27" s="51"/>
      <c r="FM27" s="51"/>
      <c r="FN27" s="51"/>
      <c r="FO27" s="51"/>
      <c r="FP27" s="51"/>
      <c r="FQ27" s="51"/>
      <c r="FR27" s="51"/>
      <c r="FS27" s="51"/>
      <c r="FT27" s="51"/>
    </row>
    <row r="28" spans="1:176" s="3" customFormat="1" ht="30" customHeight="1" thickBot="1" x14ac:dyDescent="0.4">
      <c r="A28" s="20"/>
      <c r="B28" s="68" t="s">
        <v>36</v>
      </c>
      <c r="C28" s="69"/>
      <c r="D28" s="14">
        <v>1</v>
      </c>
      <c r="E28" s="61">
        <v>46143</v>
      </c>
      <c r="F28" s="61">
        <v>46173</v>
      </c>
      <c r="G28" s="50"/>
      <c r="H28" s="50">
        <f>IF(OR(ISBLANK(task_start),ISBLANK(task_end)),"",task_end-task_start+1)</f>
        <v>31</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c r="CS28" s="51"/>
      <c r="CT28" s="51"/>
      <c r="CU28" s="51"/>
      <c r="CV28" s="51"/>
      <c r="CW28" s="51"/>
      <c r="CX28" s="51"/>
      <c r="CY28" s="51"/>
      <c r="CZ28" s="51"/>
      <c r="DA28" s="51"/>
      <c r="DB28" s="51"/>
      <c r="DC28" s="51"/>
      <c r="DD28" s="51"/>
      <c r="DE28" s="51"/>
      <c r="DF28" s="51"/>
      <c r="DG28" s="51"/>
      <c r="DH28" s="51"/>
      <c r="DI28" s="51"/>
      <c r="DJ28" s="51"/>
      <c r="DK28" s="51"/>
      <c r="DL28" s="51"/>
      <c r="DM28" s="51"/>
      <c r="DN28" s="51"/>
      <c r="DO28" s="51"/>
      <c r="DP28" s="51"/>
      <c r="DQ28" s="51"/>
      <c r="DR28" s="51"/>
      <c r="DS28" s="51"/>
      <c r="DT28" s="51"/>
      <c r="DU28" s="51"/>
      <c r="DV28" s="51"/>
      <c r="DW28" s="51"/>
      <c r="DX28" s="51"/>
      <c r="DY28" s="51"/>
      <c r="DZ28" s="51"/>
      <c r="EA28" s="51"/>
      <c r="EB28" s="51"/>
      <c r="EC28" s="51"/>
      <c r="ED28" s="51"/>
      <c r="EE28" s="51"/>
      <c r="EF28" s="51"/>
      <c r="EG28" s="51"/>
      <c r="EH28" s="51"/>
      <c r="EI28" s="51"/>
      <c r="EJ28" s="51"/>
      <c r="EK28" s="51"/>
      <c r="EL28" s="51"/>
      <c r="EM28" s="51"/>
      <c r="EN28" s="51"/>
      <c r="EO28" s="51"/>
      <c r="EP28" s="51"/>
      <c r="EQ28" s="51"/>
      <c r="ER28" s="51"/>
      <c r="ES28" s="51"/>
      <c r="ET28" s="51"/>
      <c r="EU28" s="51"/>
      <c r="EV28" s="51"/>
      <c r="EW28" s="51"/>
      <c r="EX28" s="51"/>
      <c r="EY28" s="51"/>
      <c r="EZ28" s="51"/>
      <c r="FA28" s="51"/>
      <c r="FB28" s="51"/>
      <c r="FC28" s="51"/>
      <c r="FD28" s="51"/>
      <c r="FE28" s="51"/>
      <c r="FF28" s="51"/>
      <c r="FG28" s="51"/>
      <c r="FH28" s="51"/>
      <c r="FI28" s="51"/>
      <c r="FJ28" s="51"/>
      <c r="FK28" s="51"/>
      <c r="FL28" s="51"/>
      <c r="FM28" s="51"/>
      <c r="FN28" s="51"/>
      <c r="FO28" s="51"/>
      <c r="FP28" s="51"/>
      <c r="FQ28" s="51"/>
      <c r="FR28" s="51"/>
      <c r="FS28" s="51"/>
      <c r="FT28" s="51"/>
    </row>
    <row r="29" spans="1:176" s="3" customFormat="1" ht="30" customHeight="1" thickBot="1" x14ac:dyDescent="0.4">
      <c r="A29" s="20"/>
      <c r="B29" s="68" t="s">
        <v>37</v>
      </c>
      <c r="C29" s="69"/>
      <c r="D29" s="14">
        <v>1</v>
      </c>
      <c r="E29" s="61">
        <v>46157</v>
      </c>
      <c r="F29" s="61">
        <v>46178</v>
      </c>
      <c r="G29" s="50"/>
      <c r="H29" s="50">
        <f>IF(OR(ISBLANK(task_start),ISBLANK(task_end)),"",task_end-task_start+1)</f>
        <v>22</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M29" s="51"/>
      <c r="CN29" s="51"/>
      <c r="CO29" s="51"/>
      <c r="CP29" s="51"/>
      <c r="CQ29" s="51"/>
      <c r="CR29" s="51"/>
      <c r="CS29" s="51"/>
      <c r="CT29" s="51"/>
      <c r="CU29" s="51"/>
      <c r="CV29" s="51"/>
      <c r="CW29" s="51"/>
      <c r="CX29" s="51"/>
      <c r="CY29" s="51"/>
      <c r="CZ29" s="51"/>
      <c r="DA29" s="51"/>
      <c r="DB29" s="51"/>
      <c r="DC29" s="51"/>
      <c r="DD29" s="51"/>
      <c r="DE29" s="51"/>
      <c r="DF29" s="51"/>
      <c r="DG29" s="51"/>
      <c r="DH29" s="51"/>
      <c r="DI29" s="51"/>
      <c r="DJ29" s="51"/>
      <c r="DK29" s="51"/>
      <c r="DL29" s="51"/>
      <c r="DM29" s="51"/>
      <c r="DN29" s="51"/>
      <c r="DO29" s="51"/>
      <c r="DP29" s="51"/>
      <c r="DQ29" s="51"/>
      <c r="DR29" s="51"/>
      <c r="DS29" s="51"/>
      <c r="DT29" s="51"/>
      <c r="DU29" s="51"/>
      <c r="DV29" s="51"/>
      <c r="DW29" s="51"/>
      <c r="DX29" s="51"/>
      <c r="DY29" s="51"/>
      <c r="DZ29" s="51"/>
      <c r="EA29" s="51"/>
      <c r="EB29" s="51"/>
      <c r="EC29" s="51"/>
      <c r="ED29" s="51"/>
      <c r="EE29" s="51"/>
      <c r="EF29" s="51"/>
      <c r="EG29" s="51"/>
      <c r="EH29" s="51"/>
      <c r="EI29" s="51"/>
      <c r="EJ29" s="51"/>
      <c r="EK29" s="51"/>
      <c r="EL29" s="51"/>
      <c r="EM29" s="51"/>
      <c r="EN29" s="51"/>
      <c r="EO29" s="51"/>
      <c r="EP29" s="51"/>
      <c r="EQ29" s="51"/>
      <c r="ER29" s="51"/>
      <c r="ES29" s="51"/>
      <c r="ET29" s="51"/>
      <c r="EU29" s="51"/>
      <c r="EV29" s="51"/>
      <c r="EW29" s="51"/>
      <c r="EX29" s="51"/>
      <c r="EY29" s="51"/>
      <c r="EZ29" s="51"/>
      <c r="FA29" s="51"/>
      <c r="FB29" s="51"/>
      <c r="FC29" s="51"/>
      <c r="FD29" s="51"/>
      <c r="FE29" s="51"/>
      <c r="FF29" s="51"/>
      <c r="FG29" s="51"/>
      <c r="FH29" s="51"/>
      <c r="FI29" s="51"/>
      <c r="FJ29" s="51"/>
      <c r="FK29" s="51"/>
      <c r="FL29" s="51"/>
      <c r="FM29" s="51"/>
      <c r="FN29" s="51"/>
      <c r="FO29" s="51"/>
      <c r="FP29" s="51"/>
      <c r="FQ29" s="51"/>
      <c r="FR29" s="51"/>
      <c r="FS29" s="51"/>
      <c r="FT29" s="51"/>
    </row>
    <row r="30" spans="1:176" s="3" customFormat="1" ht="30" customHeight="1" thickBot="1" x14ac:dyDescent="0.4">
      <c r="A30" s="20"/>
      <c r="B30" s="68" t="s">
        <v>38</v>
      </c>
      <c r="C30" s="69"/>
      <c r="D30" s="14">
        <v>1</v>
      </c>
      <c r="E30" s="61">
        <v>46167</v>
      </c>
      <c r="F30" s="61">
        <v>46180</v>
      </c>
      <c r="G30" s="50"/>
      <c r="H30" s="50">
        <f>IF(OR(ISBLANK(task_start),ISBLANK(task_end)),"",task_end-task_start+1)</f>
        <v>14</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M30" s="51"/>
      <c r="CN30" s="51"/>
      <c r="CO30" s="51"/>
      <c r="CP30" s="51"/>
      <c r="CQ30" s="51"/>
      <c r="CR30" s="51"/>
      <c r="CS30" s="51"/>
      <c r="CT30" s="51"/>
      <c r="CU30" s="51"/>
      <c r="CV30" s="51"/>
      <c r="CW30" s="51"/>
      <c r="CX30" s="51"/>
      <c r="CY30" s="51"/>
      <c r="CZ30" s="51"/>
      <c r="DA30" s="51"/>
      <c r="DB30" s="51"/>
      <c r="DC30" s="51"/>
      <c r="DD30" s="51"/>
      <c r="DE30" s="51"/>
      <c r="DF30" s="51"/>
      <c r="DG30" s="51"/>
      <c r="DH30" s="51"/>
      <c r="DI30" s="51"/>
      <c r="DJ30" s="51"/>
      <c r="DK30" s="51"/>
      <c r="DL30" s="51"/>
      <c r="DM30" s="51"/>
      <c r="DN30" s="51"/>
      <c r="DO30" s="51"/>
      <c r="DP30" s="51"/>
      <c r="DQ30" s="51"/>
      <c r="DR30" s="51"/>
      <c r="DS30" s="51"/>
      <c r="DT30" s="51"/>
      <c r="DU30" s="51"/>
      <c r="DV30" s="51"/>
      <c r="DW30" s="51"/>
      <c r="DX30" s="51"/>
      <c r="DY30" s="51"/>
      <c r="DZ30" s="51"/>
      <c r="EA30" s="51"/>
      <c r="EB30" s="51"/>
      <c r="EC30" s="51"/>
      <c r="ED30" s="51"/>
      <c r="EE30" s="51"/>
      <c r="EF30" s="51"/>
      <c r="EG30" s="51"/>
      <c r="EH30" s="51"/>
      <c r="EI30" s="51"/>
      <c r="EJ30" s="51"/>
      <c r="EK30" s="51"/>
      <c r="EL30" s="51"/>
      <c r="EM30" s="51"/>
      <c r="EN30" s="51"/>
      <c r="EO30" s="51"/>
      <c r="EP30" s="51"/>
      <c r="EQ30" s="51"/>
      <c r="ER30" s="51"/>
      <c r="ES30" s="51"/>
      <c r="ET30" s="51"/>
      <c r="EU30" s="51"/>
      <c r="EV30" s="51"/>
      <c r="EW30" s="51"/>
      <c r="EX30" s="51"/>
      <c r="EY30" s="51"/>
      <c r="EZ30" s="51"/>
      <c r="FA30" s="51"/>
      <c r="FB30" s="51"/>
      <c r="FC30" s="51"/>
      <c r="FD30" s="51"/>
      <c r="FE30" s="51"/>
      <c r="FF30" s="51"/>
      <c r="FG30" s="51"/>
      <c r="FH30" s="51"/>
      <c r="FI30" s="51"/>
      <c r="FJ30" s="51"/>
      <c r="FK30" s="51"/>
      <c r="FL30" s="51"/>
      <c r="FM30" s="51"/>
      <c r="FN30" s="51"/>
      <c r="FO30" s="51"/>
      <c r="FP30" s="51"/>
      <c r="FQ30" s="51"/>
      <c r="FR30" s="51"/>
      <c r="FS30" s="51"/>
      <c r="FT30" s="51"/>
    </row>
    <row r="31" spans="1:176" s="3" customFormat="1" ht="26.5" customHeight="1" thickBot="1" x14ac:dyDescent="0.4">
      <c r="A31" s="20"/>
      <c r="B31" s="68" t="s">
        <v>39</v>
      </c>
      <c r="C31" s="69"/>
      <c r="D31" s="14">
        <v>1</v>
      </c>
      <c r="E31" s="61">
        <v>46180</v>
      </c>
      <c r="F31" s="61">
        <v>46185</v>
      </c>
      <c r="G31" s="50"/>
      <c r="H31" s="50">
        <f>IF(OR(ISBLANK(task_start),ISBLANK(task_end)),"",task_end-task_start+1)</f>
        <v>6</v>
      </c>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c r="CS31" s="51"/>
      <c r="CT31" s="51"/>
      <c r="CU31" s="51"/>
      <c r="CV31" s="51"/>
      <c r="CW31" s="51"/>
      <c r="CX31" s="51"/>
      <c r="CY31" s="51"/>
      <c r="CZ31" s="51"/>
      <c r="DA31" s="51"/>
      <c r="DB31" s="51"/>
      <c r="DC31" s="51"/>
      <c r="DD31" s="51"/>
      <c r="DE31" s="51"/>
      <c r="DF31" s="51"/>
      <c r="DG31" s="51"/>
      <c r="DH31" s="51"/>
      <c r="DI31" s="51"/>
      <c r="DJ31" s="51"/>
      <c r="DK31" s="51"/>
      <c r="DL31" s="51"/>
      <c r="DM31" s="51"/>
      <c r="DN31" s="51"/>
      <c r="DO31" s="51"/>
      <c r="DP31" s="51"/>
      <c r="DQ31" s="51"/>
      <c r="DR31" s="51"/>
      <c r="DS31" s="51"/>
      <c r="DT31" s="51"/>
      <c r="DU31" s="51"/>
      <c r="DV31" s="51"/>
      <c r="DW31" s="51"/>
      <c r="DX31" s="51"/>
      <c r="DY31" s="51"/>
      <c r="DZ31" s="51"/>
      <c r="EA31" s="51"/>
      <c r="EB31" s="51"/>
      <c r="EC31" s="51"/>
      <c r="ED31" s="51"/>
      <c r="EE31" s="51"/>
      <c r="EF31" s="51"/>
      <c r="EG31" s="51"/>
      <c r="EH31" s="51"/>
      <c r="EI31" s="51"/>
      <c r="EJ31" s="51"/>
      <c r="EK31" s="51"/>
      <c r="EL31" s="51"/>
      <c r="EM31" s="51"/>
      <c r="EN31" s="51"/>
      <c r="EO31" s="51"/>
      <c r="EP31" s="51"/>
      <c r="EQ31" s="51"/>
      <c r="ER31" s="51"/>
      <c r="ES31" s="51"/>
      <c r="ET31" s="51"/>
      <c r="EU31" s="51"/>
      <c r="EV31" s="51"/>
      <c r="EW31" s="51"/>
      <c r="EX31" s="51"/>
      <c r="EY31" s="51"/>
      <c r="EZ31" s="51"/>
      <c r="FA31" s="51"/>
      <c r="FB31" s="51"/>
      <c r="FC31" s="51"/>
      <c r="FD31" s="51"/>
      <c r="FE31" s="51"/>
      <c r="FF31" s="51"/>
      <c r="FG31" s="51"/>
      <c r="FH31" s="51"/>
      <c r="FI31" s="51"/>
      <c r="FJ31" s="51"/>
      <c r="FK31" s="51"/>
      <c r="FL31" s="51"/>
      <c r="FM31" s="51"/>
      <c r="FN31" s="51"/>
      <c r="FO31" s="51"/>
      <c r="FP31" s="51"/>
      <c r="FQ31" s="51"/>
      <c r="FR31" s="51"/>
      <c r="FS31" s="51"/>
      <c r="FT31" s="51"/>
    </row>
    <row r="32" spans="1:176" ht="30" customHeight="1" x14ac:dyDescent="0.35">
      <c r="G32" s="6"/>
    </row>
    <row r="33" spans="3:6" ht="30" customHeight="1" x14ac:dyDescent="0.35">
      <c r="C33" s="11"/>
      <c r="F33" s="22"/>
    </row>
    <row r="34" spans="3:6" ht="30" customHeight="1" x14ac:dyDescent="0.35">
      <c r="C34" s="12"/>
    </row>
  </sheetData>
  <mergeCells count="27">
    <mergeCell ref="ES4:EY4"/>
    <mergeCell ref="EZ4:FF4"/>
    <mergeCell ref="FG4:FM4"/>
    <mergeCell ref="FN4:FT4"/>
    <mergeCell ref="DJ4:DP4"/>
    <mergeCell ref="DQ4:DW4"/>
    <mergeCell ref="DX4:ED4"/>
    <mergeCell ref="EE4:EK4"/>
    <mergeCell ref="EL4:ER4"/>
    <mergeCell ref="DC4:DI4"/>
    <mergeCell ref="CA4:CG4"/>
    <mergeCell ref="C3:D3"/>
    <mergeCell ref="BM4:BS4"/>
    <mergeCell ref="CH4:CN4"/>
    <mergeCell ref="E3:F3"/>
    <mergeCell ref="C4:D4"/>
    <mergeCell ref="CO4:CU4"/>
    <mergeCell ref="AY4:BE4"/>
    <mergeCell ref="CV4:DB4"/>
    <mergeCell ref="I4:O4"/>
    <mergeCell ref="BT4:BZ4"/>
    <mergeCell ref="BF4:BL4"/>
    <mergeCell ref="AK4:AQ4"/>
    <mergeCell ref="W4:AC4"/>
    <mergeCell ref="AD4:AJ4"/>
    <mergeCell ref="AR4:AX4"/>
    <mergeCell ref="P4:V4"/>
  </mergeCells>
  <conditionalFormatting sqref="D7:D31">
    <cfRule type="dataBar" priority="48">
      <dataBar>
        <cfvo type="num" val="0"/>
        <cfvo type="num" val="1"/>
        <color theme="0" tint="-0.249977111117893"/>
      </dataBar>
    </cfRule>
  </conditionalFormatting>
  <conditionalFormatting sqref="I5:CU7 I9:DI13 I15:DI19 I21:DI25 I27:DI31">
    <cfRule type="expression" dxfId="27" priority="31">
      <formula>AND(TODAY()&gt;=I$5,TODAY()&lt;J$5)</formula>
    </cfRule>
  </conditionalFormatting>
  <conditionalFormatting sqref="I7:CU7 I9:DI13 I15:DI19 I21:DI25 I27:DI31">
    <cfRule type="expression" dxfId="26" priority="23">
      <formula>AND(task_start&lt;=I$5,ROUNDDOWN((task_end-task_start+1)*task_progress,0)+task_start-1&gt;=I$5)</formula>
    </cfRule>
    <cfRule type="expression" dxfId="25" priority="24" stopIfTrue="1">
      <formula>AND(task_end&gt;=I$5,task_start&lt;J$5)</formula>
    </cfRule>
  </conditionalFormatting>
  <conditionalFormatting sqref="CV5:FT6">
    <cfRule type="expression" dxfId="24" priority="21">
      <formula>AND(TODAY()&gt;=CV$5,TODAY()&lt;CW$5)</formula>
    </cfRule>
  </conditionalFormatting>
  <conditionalFormatting sqref="DJ9:DW13 DJ15:DW19 DJ21:DW25 DJ27:DW31">
    <cfRule type="expression" dxfId="23" priority="20">
      <formula>AND(TODAY()&gt;=DJ$5,TODAY()&lt;DK$5)</formula>
    </cfRule>
  </conditionalFormatting>
  <conditionalFormatting sqref="DJ9:DW13 DJ15:DW19 DJ21:DW25 DJ27:DW31">
    <cfRule type="expression" dxfId="22" priority="18">
      <formula>AND(task_start&lt;=DJ$5,ROUNDDOWN((task_end-task_start+1)*task_progress,0)+task_start-1&gt;=DJ$5)</formula>
    </cfRule>
    <cfRule type="expression" dxfId="21" priority="19" stopIfTrue="1">
      <formula>AND(task_end&gt;=DJ$5,task_start&lt;DK$5)</formula>
    </cfRule>
  </conditionalFormatting>
  <conditionalFormatting sqref="DX9:ER13 DX21:ER25 DX27:ER31 DX15:ER19">
    <cfRule type="expression" dxfId="19" priority="16">
      <formula>AND(TODAY()&gt;=DX$5,TODAY()&lt;DY$5)</formula>
    </cfRule>
  </conditionalFormatting>
  <conditionalFormatting sqref="DX9:ER13 DX21:ER25 DX27:ER31 DX15:ER19">
    <cfRule type="expression" dxfId="18" priority="14">
      <formula>AND(task_start&lt;=DX$5,ROUNDDOWN((task_end-task_start+1)*task_progress,0)+task_start-1&gt;=DX$5)</formula>
    </cfRule>
    <cfRule type="expression" dxfId="17" priority="15" stopIfTrue="1">
      <formula>AND(task_end&gt;=DX$5,task_start&lt;DY$5)</formula>
    </cfRule>
  </conditionalFormatting>
  <conditionalFormatting sqref="ES9:FM13 ES15:FM19 ES21:FM25 ES27:FM31">
    <cfRule type="expression" dxfId="14" priority="11">
      <formula>AND(TODAY()&gt;=ES$5,TODAY()&lt;ET$5)</formula>
    </cfRule>
  </conditionalFormatting>
  <conditionalFormatting sqref="ES9:FM13 ES15:FM19 ES21:FM25 ES27:FM31">
    <cfRule type="expression" dxfId="13" priority="9">
      <formula>AND(task_start&lt;=ES$5,ROUNDDOWN((task_end-task_start+1)*task_progress,0)+task_start-1&gt;=ES$5)</formula>
    </cfRule>
    <cfRule type="expression" dxfId="12" priority="10" stopIfTrue="1">
      <formula>AND(task_end&gt;=ES$5,task_start&lt;ET$5)</formula>
    </cfRule>
  </conditionalFormatting>
  <conditionalFormatting sqref="FN9:FT13 FN15:FT19 FN21:FT25 FN27:FT31">
    <cfRule type="expression" dxfId="10" priority="7">
      <formula>AND(TODAY()&gt;=FN$5,TODAY()&lt;FO$5)</formula>
    </cfRule>
  </conditionalFormatting>
  <conditionalFormatting sqref="FN9:FT13 FN15:FT19 FN21:FT25 FN27:FT31">
    <cfRule type="expression" dxfId="9" priority="5">
      <formula>AND(task_start&lt;=FN$5,ROUNDDOWN((task_end-task_start+1)*task_progress,0)+task_start-1&gt;=FN$5)</formula>
    </cfRule>
    <cfRule type="expression" dxfId="8" priority="6" stopIfTrue="1">
      <formula>AND(task_end&gt;=FN$5,task_start&lt;FO$5)</formula>
    </cfRule>
  </conditionalFormatting>
  <dataValidations disablePrompts="1" count="1">
    <dataValidation type="whole" operator="greaterThanOrEqual" showInputMessage="1" promptTitle="Mostrar semana" prompt="Al cambiar este número, se desplazará la vista del diagrama de Gantt." sqref="E4" xr:uid="{00000000-0002-0000-0000-000000000000}">
      <formula1>1</formula1>
    </dataValidation>
  </dataValidations>
  <printOptions horizontalCentered="1"/>
  <pageMargins left="0.35" right="0.35" top="0.35" bottom="0.5" header="0.3" footer="0.3"/>
  <pageSetup paperSize="9" scale="26" fitToHeight="0" orientation="landscape"/>
  <headerFooter differentFirst="1" scaleWithDoc="0">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6</vt:i4>
      </vt:variant>
    </vt:vector>
  </HeadingPairs>
  <TitlesOfParts>
    <vt:vector size="7" baseType="lpstr">
      <vt:lpstr>ProjectSchedule</vt:lpstr>
      <vt:lpstr>Inicio_del_proyecto</vt:lpstr>
      <vt:lpstr>Semana_para_mostrar</vt:lpstr>
      <vt:lpstr>ProjectSchedule!task_end</vt:lpstr>
      <vt:lpstr>ProjectSchedule!task_progress</vt:lpstr>
      <vt:lpstr>ProjectSchedule!task_start</vt:lpstr>
      <vt:lpstr>ProjectSchedule!Títulos_a_imprimir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 llord</cp:lastModifiedBy>
  <dcterms:created xsi:type="dcterms:W3CDTF">2021-12-14T20:18:50Z</dcterms:created>
  <dcterms:modified xsi:type="dcterms:W3CDTF">2026-05-18T11:23:11Z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