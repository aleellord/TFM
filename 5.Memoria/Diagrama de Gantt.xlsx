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filterPrivacy="1" codeName="ThisWorkbook"/>
  <xr:revisionPtr revIDLastSave="0" documentId="13_ncr:1_{0CDA8A53-4DC9-4283-9CE4-E4999B8ABC22}" xr6:coauthVersionLast="47" xr6:coauthVersionMax="47" xr10:uidLastSave="{00000000-0000-0000-0000-000000000000}"/>
  <bookViews>
    <workbookView xWindow="-110" yWindow="-110" windowWidth="19420" windowHeight="10300" xr2:uid="{00000000-000D-0000-FFFF-FFFF00000000}"/>
  </bookViews>
  <sheets>
    <sheet name="ProjectSchedule" sheetId="11" r:id="rId1"/>
    <sheet name="Acerca de" sheetId="12" r:id="rId2"/>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C5" i="11" l="1"/>
  <c r="DD5" i="11" s="1"/>
  <c r="DC4" i="11"/>
  <c r="CV4" i="11"/>
  <c r="F24" i="11"/>
  <c r="F22" i="11"/>
  <c r="E9" i="11"/>
  <c r="E10" i="11" s="1"/>
  <c r="H7" i="11"/>
  <c r="DE5" i="11" l="1"/>
  <c r="DD6" i="11"/>
  <c r="DC6" i="11"/>
  <c r="H22" i="11"/>
  <c r="I5" i="11"/>
  <c r="H31" i="11"/>
  <c r="H30" i="11"/>
  <c r="H29" i="11"/>
  <c r="H28" i="11"/>
  <c r="DE6" i="11" l="1"/>
  <c r="DF5" i="11"/>
  <c r="H25" i="11"/>
  <c r="H9" i="11"/>
  <c r="I6" i="11"/>
  <c r="DG5" i="11" l="1"/>
  <c r="DF6" i="11"/>
  <c r="H27" i="11"/>
  <c r="H10" i="11"/>
  <c r="H15" i="11"/>
  <c r="H13" i="11"/>
  <c r="J5" i="11"/>
  <c r="K5" i="11" s="1"/>
  <c r="L5" i="11" s="1"/>
  <c r="M5" i="11" s="1"/>
  <c r="N5" i="11" s="1"/>
  <c r="O5" i="11" s="1"/>
  <c r="P5" i="11" s="1"/>
  <c r="I4" i="11"/>
  <c r="DH5" i="11" l="1"/>
  <c r="DG6" i="11"/>
  <c r="H23" i="11"/>
  <c r="H24" i="11"/>
  <c r="H16" i="11"/>
  <c r="H11" i="11"/>
  <c r="H12" i="11"/>
  <c r="P4" i="11"/>
  <c r="Q5" i="11"/>
  <c r="R5" i="11" s="1"/>
  <c r="S5" i="11" s="1"/>
  <c r="T5" i="11" s="1"/>
  <c r="U5" i="11" s="1"/>
  <c r="V5" i="11" s="1"/>
  <c r="W5" i="11" s="1"/>
  <c r="J6" i="11"/>
  <c r="DH6" i="11" l="1"/>
  <c r="DI5" i="11"/>
  <c r="DI6" i="11" s="1"/>
  <c r="H19" i="11"/>
  <c r="H18" i="1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AZ5" i="11" l="1"/>
  <c r="AY4" i="11"/>
  <c r="S6" i="11" s="1"/>
  <c r="AX6" i="11"/>
  <c r="T6" i="11"/>
  <c r="AY6" i="11" l="1"/>
  <c r="BA5" i="11"/>
  <c r="AZ6" i="11"/>
  <c r="U6" i="11"/>
  <c r="BA6" i="11" l="1"/>
  <c r="BB5" i="11"/>
  <c r="V6" i="11"/>
  <c r="BB6" i="11" l="1"/>
  <c r="BC5" i="11"/>
  <c r="W6" i="11"/>
  <c r="BC6" i="11" l="1"/>
  <c r="BD5" i="11"/>
  <c r="X6" i="11"/>
  <c r="BE5" i="11" l="1"/>
  <c r="BD6" i="11"/>
  <c r="Y6" i="11"/>
  <c r="BE6" i="11" l="1"/>
  <c r="BF5" i="11"/>
  <c r="BF6" i="11" l="1"/>
  <c r="BG5" i="11"/>
  <c r="BF4" i="11"/>
  <c r="Z6" i="11" s="1"/>
  <c r="AA6" i="11"/>
  <c r="BG6" i="11" l="1"/>
  <c r="BH5" i="11"/>
  <c r="AB6" i="11"/>
  <c r="BI5" i="11" l="1"/>
  <c r="BH6" i="11"/>
  <c r="AC6" i="11"/>
  <c r="BJ5" i="11" l="1"/>
  <c r="BI6" i="11"/>
  <c r="AD6" i="11"/>
  <c r="BK5" i="11" l="1"/>
  <c r="BL5" i="11" s="1"/>
  <c r="BM5" i="11" s="1"/>
  <c r="BJ6" i="11"/>
  <c r="AE6" i="11"/>
  <c r="BM6" i="11" l="1"/>
  <c r="BM4" i="11"/>
  <c r="BN5" i="11"/>
  <c r="BK6" i="11"/>
  <c r="AF6" i="11"/>
  <c r="BO5" i="11" l="1"/>
  <c r="BN6" i="11"/>
  <c r="BL6" i="11"/>
  <c r="AG6" i="11"/>
  <c r="BP5" i="11" l="1"/>
  <c r="BO6" i="11"/>
  <c r="AH6" i="11"/>
  <c r="BQ5" i="11" l="1"/>
  <c r="BP6" i="11"/>
  <c r="AI6" i="11"/>
  <c r="BQ6" i="11" l="1"/>
  <c r="BR5" i="11"/>
  <c r="AJ6" i="11"/>
  <c r="BS5" i="11" l="1"/>
  <c r="BR6" i="11"/>
  <c r="AK6" i="11"/>
  <c r="BT5" i="11" l="1"/>
  <c r="BS6" i="11"/>
  <c r="AL6" i="11"/>
  <c r="BT6" i="11" l="1"/>
  <c r="BT4" i="11"/>
  <c r="BU5" i="11"/>
  <c r="AM6" i="11"/>
  <c r="BU6" i="11" l="1"/>
  <c r="BV5" i="11"/>
  <c r="AN6" i="11"/>
  <c r="BW5" i="11" l="1"/>
  <c r="BV6" i="11"/>
  <c r="AO6" i="11"/>
  <c r="BX5" i="11" l="1"/>
  <c r="BW6" i="11"/>
  <c r="AP6" i="11"/>
  <c r="BY5" i="11" l="1"/>
  <c r="BX6" i="11"/>
  <c r="AQ6" i="11"/>
  <c r="BZ5" i="11" l="1"/>
  <c r="BY6" i="11"/>
  <c r="AR6" i="11"/>
  <c r="CA5" i="11" l="1"/>
  <c r="BZ6" i="11"/>
  <c r="CB5" i="11" l="1"/>
  <c r="CA6" i="11"/>
  <c r="CA4" i="11"/>
  <c r="CC5" i="11" l="1"/>
  <c r="CB6" i="11"/>
  <c r="CD5" i="11" l="1"/>
  <c r="CC6" i="11"/>
  <c r="CE5" i="11" l="1"/>
  <c r="CD6" i="11"/>
  <c r="CF5" i="11" l="1"/>
  <c r="CE6" i="11"/>
  <c r="CG5" i="11" l="1"/>
  <c r="CF6" i="11"/>
  <c r="CH5" i="11" l="1"/>
  <c r="CG6" i="11"/>
  <c r="CI5" i="11" l="1"/>
  <c r="CH6" i="11"/>
  <c r="CH4" i="11"/>
  <c r="CO4" i="11" s="1"/>
  <c r="CJ5" i="11" l="1"/>
  <c r="CI6" i="11"/>
  <c r="CK5" i="11" l="1"/>
  <c r="CJ6" i="11"/>
  <c r="CL5" i="11" l="1"/>
  <c r="CK6" i="11"/>
  <c r="CM5" i="11" l="1"/>
  <c r="CL6" i="11"/>
  <c r="CN5" i="11" l="1"/>
  <c r="CM6" i="11"/>
  <c r="CO5" i="11" l="1"/>
  <c r="CN6" i="11"/>
  <c r="CO6" i="11" l="1"/>
  <c r="CP5" i="11"/>
  <c r="CP6" i="11" l="1"/>
  <c r="CQ5" i="11"/>
  <c r="CQ6" i="11" l="1"/>
  <c r="CR5" i="11"/>
  <c r="CS5" i="11" l="1"/>
  <c r="CR6" i="11"/>
  <c r="CT5" i="11" l="1"/>
  <c r="CS6" i="11"/>
  <c r="CU5" i="11" l="1"/>
  <c r="CT6" i="11"/>
  <c r="CU6" i="11" l="1"/>
  <c r="CV5" i="11"/>
  <c r="CW5" i="11" l="1"/>
  <c r="CV6" i="11"/>
  <c r="CX5" i="11" l="1"/>
  <c r="CW6" i="11"/>
  <c r="CX6" i="11" l="1"/>
  <c r="CY5" i="11"/>
  <c r="CZ5" i="11" l="1"/>
  <c r="CY6" i="11"/>
  <c r="DA5" i="11" l="1"/>
  <c r="CZ6" i="11"/>
  <c r="DB5" i="11" l="1"/>
  <c r="DB6" i="11" s="1"/>
  <c r="DA6" i="11"/>
</calcChain>
</file>

<file path=xl/sharedStrings.xml><?xml version="1.0" encoding="utf-8"?>
<sst xmlns="http://schemas.openxmlformats.org/spreadsheetml/2006/main" count="63" uniqueCount="62">
  <si>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</si>
  <si>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GRÁFICO GANTT SIMPLE de Vertex42.com</t>
  </si>
  <si>
    <t>Escriba el nombre de la compañía en la celda B2.</t>
  </si>
  <si>
    <t>Universidad Francisco de Vitoria</t>
  </si>
  <si>
    <t>https://www.vertex42.com/ExcelTemplates/simple-gantt-chart.html</t>
  </si>
  <si>
    <t>Escriba el nombre del responsable del proyecto en la celda B3. Escriba la fecha de comienzo del proyecto en la celda E3. Inicio del proyecto: la etiqueta se encuentra en la celda C3.</t>
  </si>
  <si>
    <t>Inicio del proyecto: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</si>
  <si>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</si>
  <si>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Semana para mostrar:</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</si>
  <si>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</si>
  <si>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</si>
  <si>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</si>
  <si>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</si>
  <si>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</si>
  <si>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</si>
  <si>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</si>
  <si>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</si>
  <si>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</si>
  <si>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</si>
  <si>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</si>
  <si>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</si>
  <si>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</si>
  <si>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</si>
  <si>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</si>
  <si>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</si>
  <si>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</si>
  <si>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</si>
  <si>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</si>
  <si>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</si>
  <si>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</si>
  <si>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</si>
  <si>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</si>
  <si>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</si>
  <si>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</si>
  <si>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</si>
  <si>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Grupo B</t>
  </si>
  <si>
    <t>Tarea 1: Ivenstigación del problema y formulación de objetivos del proyecto.</t>
  </si>
  <si>
    <t>Tarea 1: Redacción de la introducción, estado del arte y objetivos.</t>
  </si>
  <si>
    <t>Tarea 2: Elaboración del capítulo de metodología y resultados.</t>
  </si>
  <si>
    <t>Alejandra Llord</t>
  </si>
  <si>
    <t>Fase 2: Desarrollo metodológico (4 semanas)</t>
  </si>
  <si>
    <t>Tarea 4: Estudio de los métodos variacionales y sus fundamentos matemáticos</t>
  </si>
  <si>
    <t>Tarea 5: Análisis de las propiedades de los átomos de hidrógeno, helio y litio</t>
  </si>
  <si>
    <t>Tarea 2: Estudio de la ecuación de Schrödinger y sus aplicaciones en sistemas atómicos</t>
  </si>
  <si>
    <t>Tarea 3: Análisis de las limitaciones en la resolución exacta de sistemas cuánticos multielectrónicos</t>
  </si>
  <si>
    <t>Tarea 1: Implementación del método variacional convencional (Ritz)</t>
  </si>
  <si>
    <t>Tarea 2: Desarrollo del método de variaciones lineales en forma matricia</t>
  </si>
  <si>
    <t>Tarea 3: Implementación del enfoque numérico directo mediante optimización</t>
  </si>
  <si>
    <t>Tarea 1: Resolución del átomo de hidrógeno con funciones gaussianas e hidrogenoides</t>
  </si>
  <si>
    <t>Tarea 2: Resolución del átomo de helio y análisis del término de repulsión electrón-electrón</t>
  </si>
  <si>
    <t>Fase 3: Aplicación y análisis de resultados (4 semanas)</t>
  </si>
  <si>
    <t>Tarea 5: Comparación de resultados con valores experimentales y teóricos</t>
  </si>
  <si>
    <t>Tarea 2: Resolución del átomo de litio</t>
  </si>
  <si>
    <t xml:space="preserve">Tarea 3: Estudio de estados excitados </t>
  </si>
  <si>
    <t>Tarea 3: Análisis de implicaciones éticas e impacto social</t>
  </si>
  <si>
    <t>Tarea 5: Validación cruzada de los tres enfoques y selección del método definitivo</t>
  </si>
  <si>
    <t>Tarea 4: Desarrollo de los métodos de manera analítica manualmente</t>
  </si>
  <si>
    <t>Fase 1: Introducción y análisis inicial (3 semanas)</t>
  </si>
  <si>
    <t>Tarea 5: Redacción de conclusiones y revisión final.</t>
  </si>
  <si>
    <t xml:space="preserve">RESOLUCIÓN SIMBÓLICO-NUMÉRICA DE LA ECUACIÓN DE SCHRÖDINGER PARA SISTEMAS ATÓMICOS SIMPLES </t>
  </si>
  <si>
    <t>Fase 4: Documentación y cierre (14 semanas)</t>
  </si>
  <si>
    <t>Tarea 4: Preparación de gráficos, código, tablas y anexos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</si>
</sst>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C0A]d\ &quot;de&quot;\ mmmm\ &quot;de&quot;\ yyyy;@"/>
    <numFmt numFmtId="168" formatCode="d\-m\-yy;@"/>
    <numFmt numFmtId="169" formatCode="d"/>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6"/>
      <color theme="1"/>
      <name val="Calibri"/>
      <family val="2"/>
      <scheme val="minor"/>
    </font>
    <font>
      <b/>
      <sz val="11"/>
      <color theme="1" tint="0.34998626667073579"/>
      <name val="Calibri"/>
      <family val="2"/>
      <scheme val="minor"/>
    </font>
    <font>
      <sz val="11"/>
      <color theme="1" tint="0.34998626667073579"/>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20"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6" fontId="7" fillId="0" borderId="3">
      <alignment horizontal="center" vertical="center"/>
    </xf>
    <xf numFmtId="168"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3"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24" fillId="0" borderId="0" applyNumberFormat="0" applyFill="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7" fillId="15" borderId="0" applyNumberFormat="0" applyBorder="0" applyAlignment="0" applyProtection="0"/>
    <xf numFmtId="0" fontId="28" fillId="16" borderId="11" applyNumberFormat="0" applyAlignment="0" applyProtection="0"/>
    <xf numFmtId="0" fontId="29" fillId="17" borderId="12" applyNumberFormat="0" applyAlignment="0" applyProtection="0"/>
    <xf numFmtId="0" fontId="30" fillId="17" borderId="11" applyNumberFormat="0" applyAlignment="0" applyProtection="0"/>
    <xf numFmtId="0" fontId="31" fillId="0" borderId="13" applyNumberFormat="0" applyFill="0" applyAlignment="0" applyProtection="0"/>
    <xf numFmtId="0" fontId="32" fillId="18" borderId="14" applyNumberFormat="0" applyAlignment="0" applyProtection="0"/>
    <xf numFmtId="0" fontId="33" fillId="0" borderId="0" applyNumberFormat="0" applyFill="0" applyBorder="0" applyAlignment="0" applyProtection="0"/>
    <xf numFmtId="0" fontId="7" fillId="19" borderId="15" applyNumberFormat="0" applyFont="0" applyAlignment="0" applyProtection="0"/>
    <xf numFmtId="0" fontId="34" fillId="0" borderId="0" applyNumberFormat="0" applyFill="0" applyBorder="0" applyAlignment="0" applyProtection="0"/>
    <xf numFmtId="0" fontId="5" fillId="0" borderId="16" applyNumberFormat="0" applyFill="0" applyAlignment="0" applyProtection="0"/>
    <xf numFmtId="0" fontId="20"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20"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20"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20"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20"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20"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9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0" fontId="12" fillId="0" borderId="0" xfId="0" applyFont="1"/>
    <xf numFmtId="0" fontId="13" fillId="0" borderId="0" xfId="1" applyFont="1" applyAlignment="1" applyProtection="1"/>
    <xf numFmtId="9" fontId="4" fillId="7" borderId="2" xfId="2" applyFont="1" applyFill="1" applyBorder="1" applyAlignment="1">
      <alignment horizontal="center" vertical="center"/>
    </xf>
    <xf numFmtId="9" fontId="4" fillId="2" borderId="2" xfId="2" applyFont="1" applyFill="1" applyBorder="1" applyAlignment="1">
      <alignment horizontal="center" vertical="center"/>
    </xf>
    <xf numFmtId="9" fontId="4" fillId="8" borderId="2" xfId="2" applyFont="1" applyFill="1" applyBorder="1" applyAlignment="1">
      <alignment horizontal="center" vertical="center"/>
    </xf>
    <xf numFmtId="9" fontId="4" fillId="5" borderId="2" xfId="2" applyFont="1" applyFill="1" applyBorder="1" applyAlignment="1">
      <alignment horizontal="center" vertical="center"/>
    </xf>
    <xf numFmtId="9" fontId="4" fillId="4" borderId="2" xfId="2" applyFont="1" applyFill="1" applyBorder="1" applyAlignment="1">
      <alignment horizontal="center" vertical="center"/>
    </xf>
    <xf numFmtId="0" fontId="0" fillId="0" borderId="9" xfId="0"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4" fillId="0" borderId="0" xfId="0" applyFont="1" applyAlignment="1">
      <alignment horizontal="left" vertical="center"/>
    </xf>
    <xf numFmtId="0" fontId="15" fillId="0" borderId="0" xfId="0" applyFont="1" applyAlignment="1">
      <alignment horizontal="left" vertical="center"/>
    </xf>
    <xf numFmtId="0" fontId="17" fillId="0" borderId="0" xfId="0" applyFont="1"/>
    <xf numFmtId="0" fontId="19" fillId="0" borderId="0" xfId="0" applyFont="1" applyAlignment="1">
      <alignment vertical="center"/>
    </xf>
    <xf numFmtId="0" fontId="18" fillId="0" borderId="0" xfId="0" applyFont="1" applyAlignment="1">
      <alignment horizontal="left" vertical="top" wrapText="1" indent="1"/>
    </xf>
    <xf numFmtId="0" fontId="2" fillId="0" borderId="0" xfId="0" applyFont="1" applyAlignment="1">
      <alignment horizontal="left" vertical="top"/>
    </xf>
    <xf numFmtId="0" fontId="16"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0" fillId="0" borderId="0" xfId="3"/>
    <xf numFmtId="0" fontId="20" fillId="0" borderId="0" xfId="3" applyAlignment="1">
      <alignment wrapText="1"/>
    </xf>
    <xf numFmtId="0" fontId="20"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6"/>
    <xf numFmtId="0" fontId="7" fillId="7" borderId="2" xfId="11" applyFill="1">
      <alignment horizontal="center" vertical="center"/>
    </xf>
    <xf numFmtId="0" fontId="7" fillId="8" borderId="2" xfId="11" applyFill="1">
      <alignment horizontal="center" vertical="center"/>
    </xf>
    <xf numFmtId="0" fontId="7" fillId="5" borderId="2" xfId="11" applyFill="1">
      <alignment horizontal="center" vertical="center"/>
    </xf>
    <xf numFmtId="0" fontId="7" fillId="10" borderId="2" xfId="11" applyFill="1">
      <alignment horizontal="center" vertical="center"/>
    </xf>
    <xf numFmtId="0" fontId="7" fillId="4" borderId="2" xfId="11" applyFill="1">
      <alignment horizontal="center" vertical="center"/>
    </xf>
    <xf numFmtId="0" fontId="0" fillId="0" borderId="10" xfId="0" applyBorder="1"/>
    <xf numFmtId="0" fontId="21" fillId="0" borderId="0" xfId="0" applyFont="1"/>
    <xf numFmtId="0" fontId="22" fillId="0" borderId="0" xfId="1" applyFont="1" applyProtection="1">
      <alignment vertical="top"/>
    </xf>
    <xf numFmtId="0" fontId="4" fillId="0" borderId="0" xfId="0" applyFont="1" applyAlignment="1">
      <alignment vertical="top"/>
    </xf>
    <xf numFmtId="168" fontId="0" fillId="7" borderId="2" xfId="0" applyNumberFormat="1" applyFill="1" applyBorder="1" applyAlignment="1">
      <alignment horizontal="center" vertical="center"/>
    </xf>
    <xf numFmtId="168" fontId="4" fillId="8" borderId="2" xfId="0" applyNumberFormat="1" applyFont="1" applyFill="1" applyBorder="1" applyAlignment="1">
      <alignment horizontal="center" vertical="center"/>
    </xf>
    <xf numFmtId="168" fontId="4" fillId="5" borderId="2" xfId="0" applyNumberFormat="1" applyFont="1" applyFill="1" applyBorder="1" applyAlignment="1">
      <alignment horizontal="center" vertical="center"/>
    </xf>
    <xf numFmtId="168" fontId="4" fillId="4"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8" fillId="0" borderId="0" xfId="0" applyFont="1" applyAlignment="1">
      <alignment vertical="top"/>
    </xf>
    <xf numFmtId="0" fontId="8" fillId="0" borderId="0" xfId="7" applyAlignment="1">
      <alignment vertical="center"/>
    </xf>
    <xf numFmtId="0" fontId="4" fillId="2" borderId="2" xfId="0" applyFont="1" applyFill="1" applyBorder="1" applyAlignment="1">
      <alignment horizontal="center" vertical="center"/>
    </xf>
    <xf numFmtId="0" fontId="0" fillId="2" borderId="9" xfId="0" applyFill="1" applyBorder="1" applyAlignment="1">
      <alignment vertical="center"/>
    </xf>
    <xf numFmtId="0" fontId="0" fillId="2" borderId="9" xfId="0" applyFill="1" applyBorder="1" applyAlignment="1">
      <alignment horizontal="right" vertical="center"/>
    </xf>
    <xf numFmtId="0" fontId="4" fillId="3" borderId="2" xfId="0" applyFont="1" applyFill="1" applyBorder="1" applyAlignment="1">
      <alignment horizontal="center" vertical="center"/>
    </xf>
    <xf numFmtId="0" fontId="0" fillId="3" borderId="9" xfId="0" applyFill="1" applyBorder="1" applyAlignment="1">
      <alignment vertical="center"/>
    </xf>
    <xf numFmtId="0" fontId="0" fillId="3" borderId="9" xfId="0" applyFill="1" applyBorder="1" applyAlignment="1">
      <alignment horizontal="right" vertical="center"/>
    </xf>
    <xf numFmtId="0" fontId="4" fillId="10" borderId="2" xfId="0" applyFont="1" applyFill="1" applyBorder="1" applyAlignment="1">
      <alignment horizontal="center" vertical="center"/>
    </xf>
    <xf numFmtId="0" fontId="0" fillId="10" borderId="9" xfId="0" applyFill="1" applyBorder="1" applyAlignment="1">
      <alignment vertical="center"/>
    </xf>
    <xf numFmtId="0" fontId="4" fillId="9" borderId="2" xfId="0" applyFont="1" applyFill="1" applyBorder="1" applyAlignment="1">
      <alignment horizontal="center" vertical="center"/>
    </xf>
    <xf numFmtId="0" fontId="0" fillId="9" borderId="9" xfId="0" applyFill="1" applyBorder="1" applyAlignment="1">
      <alignment vertical="center"/>
    </xf>
    <xf numFmtId="168" fontId="5" fillId="2" borderId="2" xfId="10" applyFont="1" applyFill="1">
      <alignment horizontal="center" vertical="center"/>
    </xf>
    <xf numFmtId="168" fontId="5" fillId="8" borderId="2" xfId="0" applyNumberFormat="1" applyFont="1" applyFill="1" applyBorder="1" applyAlignment="1">
      <alignment horizontal="center" vertical="center"/>
    </xf>
    <xf numFmtId="168" fontId="21" fillId="8" borderId="2" xfId="0" applyNumberFormat="1" applyFont="1" applyFill="1" applyBorder="1" applyAlignment="1">
      <alignment horizontal="center" vertical="center"/>
    </xf>
    <xf numFmtId="168" fontId="5" fillId="3" borderId="2" xfId="10" applyFont="1" applyFill="1">
      <alignment horizontal="center" vertical="center"/>
    </xf>
    <xf numFmtId="168" fontId="5" fillId="5" borderId="2" xfId="0" applyNumberFormat="1" applyFont="1" applyFill="1" applyBorder="1" applyAlignment="1">
      <alignment horizontal="center" vertical="center"/>
    </xf>
    <xf numFmtId="168" fontId="21" fillId="5" borderId="2" xfId="0" applyNumberFormat="1" applyFont="1" applyFill="1" applyBorder="1" applyAlignment="1">
      <alignment horizontal="center" vertical="center"/>
    </xf>
    <xf numFmtId="168" fontId="5" fillId="10" borderId="2" xfId="10" applyFont="1" applyFill="1">
      <alignment horizontal="center" vertical="center"/>
    </xf>
    <xf numFmtId="168" fontId="5" fillId="4" borderId="2" xfId="0" applyNumberFormat="1" applyFont="1" applyFill="1" applyBorder="1" applyAlignment="1">
      <alignment horizontal="center" vertical="center"/>
    </xf>
    <xf numFmtId="168" fontId="21" fillId="4" borderId="2" xfId="0" applyNumberFormat="1" applyFont="1" applyFill="1" applyBorder="1" applyAlignment="1">
      <alignment horizontal="center" vertical="center"/>
    </xf>
    <xf numFmtId="168" fontId="5" fillId="9" borderId="2" xfId="10" applyFont="1" applyFill="1">
      <alignment horizontal="center" vertical="center"/>
    </xf>
    <xf numFmtId="0" fontId="35" fillId="7" borderId="2" xfId="0" applyFont="1" applyFill="1" applyBorder="1" applyAlignment="1">
      <alignment horizontal="left" vertical="center" indent="1"/>
    </xf>
    <xf numFmtId="0" fontId="36" fillId="2" borderId="2" xfId="12" applyFont="1" applyFill="1">
      <alignment horizontal="left" vertical="center" indent="2"/>
    </xf>
    <xf numFmtId="0" fontId="37" fillId="2" borderId="2" xfId="11" applyFont="1" applyFill="1">
      <alignment horizontal="center" vertical="center"/>
    </xf>
    <xf numFmtId="0" fontId="36" fillId="3" borderId="2" xfId="12" applyFont="1" applyFill="1">
      <alignment horizontal="left" vertical="center" indent="2"/>
    </xf>
    <xf numFmtId="0" fontId="36" fillId="3" borderId="2" xfId="11" applyFont="1" applyFill="1">
      <alignment horizontal="center" vertical="center"/>
    </xf>
    <xf numFmtId="0" fontId="36" fillId="10" borderId="2" xfId="12" applyFont="1" applyFill="1">
      <alignment horizontal="left" vertical="center" indent="2"/>
    </xf>
    <xf numFmtId="0" fontId="36" fillId="9" borderId="2" xfId="12" applyFont="1" applyFill="1">
      <alignment horizontal="left" vertical="center" indent="2"/>
    </xf>
    <xf numFmtId="0" fontId="36" fillId="9" borderId="2" xfId="11" applyFont="1" applyFill="1">
      <alignment horizontal="center" vertical="center"/>
    </xf>
    <xf numFmtId="0" fontId="35" fillId="8" borderId="2" xfId="0" applyFont="1" applyFill="1" applyBorder="1" applyAlignment="1">
      <alignment horizontal="left" vertical="center" indent="1"/>
    </xf>
    <xf numFmtId="0" fontId="35" fillId="5" borderId="2" xfId="0" applyFont="1" applyFill="1" applyBorder="1" applyAlignment="1">
      <alignment horizontal="left" vertical="center" indent="1"/>
    </xf>
    <xf numFmtId="0" fontId="35" fillId="4" borderId="2" xfId="0" applyFont="1" applyFill="1" applyBorder="1" applyAlignment="1">
      <alignment horizontal="left" vertical="center" indent="1"/>
    </xf>
    <xf numFmtId="167" fontId="0" fillId="6" borderId="4" xfId="0" applyNumberFormat="1" applyFill="1" applyBorder="1" applyAlignment="1">
      <alignment horizontal="left" vertical="center" wrapText="1" indent="1"/>
    </xf>
    <xf numFmtId="167" fontId="0" fillId="6" borderId="1" xfId="0" applyNumberFormat="1" applyFill="1" applyBorder="1" applyAlignment="1">
      <alignment horizontal="left" vertical="center" wrapText="1" indent="1"/>
    </xf>
    <xf numFmtId="167" fontId="0" fillId="6" borderId="5" xfId="0" applyNumberFormat="1" applyFill="1" applyBorder="1" applyAlignment="1">
      <alignment horizontal="left" vertical="center" wrapText="1" indent="1"/>
    </xf>
    <xf numFmtId="166" fontId="7" fillId="0" borderId="3" xfId="9">
      <alignment horizontal="center" vertical="center"/>
    </xf>
    <xf numFmtId="0" fontId="7" fillId="0" borderId="0" xfId="8">
      <alignment horizontal="right" indent="1"/>
    </xf>
    <xf numFmtId="0" fontId="7" fillId="0" borderId="7" xfId="8" applyBorder="1">
      <alignment horizontal="right" indent="1"/>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3">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I34"/>
  <sheetViews>
    <sheetView showGridLines="0" tabSelected="1" showRuler="0" zoomScale="49" zoomScaleNormal="70" zoomScalePageLayoutView="70" workbookViewId="0">
      <pane ySplit="6" topLeftCell="A22" activePane="bottomLeft" state="frozen"/>
      <selection pane="bottomLeft" activeCell="B30" sqref="B30"/>
    </sheetView>
  </sheetViews>
  <sheetFormatPr baseColWidth="10" defaultColWidth="9.1796875" defaultRowHeight="30" customHeight="1" x14ac:dyDescent="0.35"/>
  <cols>
    <col min="1" max="1" width="2.7265625" style="30" customWidth="1"/>
    <col min="2" max="2" width="96.36328125" customWidth="1"/>
    <col min="3" max="3" width="30.7265625" customWidth="1"/>
    <col min="4" max="4" width="10.7265625" customWidth="1"/>
    <col min="5" max="5" width="10.453125" style="5" customWidth="1"/>
    <col min="6" max="6" width="10.453125" customWidth="1"/>
    <col min="7" max="7" width="2.7265625" customWidth="1"/>
    <col min="8" max="8" width="9.453125" hidden="1" customWidth="1"/>
    <col min="9" max="49" width="3.26953125" customWidth="1"/>
    <col min="50" max="50" width="4.36328125" customWidth="1"/>
    <col min="51" max="56" width="3.26953125" customWidth="1"/>
    <col min="57" max="57" width="4.36328125" customWidth="1"/>
    <col min="58" max="63" width="3.26953125" customWidth="1"/>
    <col min="64" max="64" width="4.7265625" customWidth="1"/>
    <col min="65" max="99" width="3.26953125" customWidth="1"/>
    <col min="100" max="100" width="3.54296875" customWidth="1"/>
    <col min="101" max="103" width="4.08984375" customWidth="1"/>
    <col min="104" max="104" width="2.453125" bestFit="1" customWidth="1"/>
    <col min="105" max="105" width="2.6328125" bestFit="1" customWidth="1"/>
    <col min="106" max="106" width="5" customWidth="1"/>
    <col min="107" max="111" width="2.6328125" bestFit="1" customWidth="1"/>
    <col min="112" max="112" width="6" customWidth="1"/>
    <col min="113" max="113" width="5" customWidth="1"/>
  </cols>
  <sheetData>
    <row r="1" spans="1:113" ht="30" customHeight="1" x14ac:dyDescent="0.65">
      <c r="A1" s="31" t="s">
        <v>0</v>
      </c>
      <c r="B1" s="34" t="s">
        <v>59</v>
      </c>
      <c r="C1" s="1"/>
      <c r="D1" s="2"/>
      <c r="E1" s="4"/>
      <c r="F1" s="19"/>
      <c r="H1" s="2"/>
      <c r="I1" s="42"/>
    </row>
    <row r="2" spans="1:113" ht="30" customHeight="1" x14ac:dyDescent="0.45">
      <c r="A2" s="30" t="s">
        <v>2</v>
      </c>
      <c r="B2" s="35" t="s">
        <v>3</v>
      </c>
      <c r="I2" s="43"/>
    </row>
    <row r="3" spans="1:113" ht="30" customHeight="1" x14ac:dyDescent="0.35">
      <c r="A3" s="30" t="s">
        <v>5</v>
      </c>
      <c r="B3" s="53" t="s">
        <v>35</v>
      </c>
      <c r="C3" s="89" t="s">
        <v>6</v>
      </c>
      <c r="D3" s="90"/>
      <c r="E3" s="88">
        <v>45663</v>
      </c>
      <c r="F3" s="88"/>
    </row>
    <row r="4" spans="1:113" ht="30" customHeight="1" x14ac:dyDescent="0.35">
      <c r="A4" s="31" t="s">
        <v>7</v>
      </c>
      <c r="B4" s="52" t="s">
        <v>39</v>
      </c>
      <c r="C4" s="89" t="s">
        <v>8</v>
      </c>
      <c r="D4" s="90"/>
      <c r="E4" s="7">
        <v>1</v>
      </c>
      <c r="I4" s="85">
        <f>I5</f>
        <v>45663</v>
      </c>
      <c r="J4" s="86"/>
      <c r="K4" s="86"/>
      <c r="L4" s="86"/>
      <c r="M4" s="86"/>
      <c r="N4" s="86"/>
      <c r="O4" s="87"/>
      <c r="P4" s="85">
        <f>P5</f>
        <v>45670</v>
      </c>
      <c r="Q4" s="86"/>
      <c r="R4" s="86"/>
      <c r="S4" s="86"/>
      <c r="T4" s="86"/>
      <c r="U4" s="86"/>
      <c r="V4" s="87"/>
      <c r="W4" s="85">
        <f>W5</f>
        <v>45677</v>
      </c>
      <c r="X4" s="86"/>
      <c r="Y4" s="86"/>
      <c r="Z4" s="86"/>
      <c r="AA4" s="86"/>
      <c r="AB4" s="86"/>
      <c r="AC4" s="87"/>
      <c r="AD4" s="85">
        <f>AD5</f>
        <v>45684</v>
      </c>
      <c r="AE4" s="86"/>
      <c r="AF4" s="86"/>
      <c r="AG4" s="86"/>
      <c r="AH4" s="86"/>
      <c r="AI4" s="86"/>
      <c r="AJ4" s="87"/>
      <c r="AK4" s="85">
        <f>AK5</f>
        <v>45691</v>
      </c>
      <c r="AL4" s="86"/>
      <c r="AM4" s="86"/>
      <c r="AN4" s="86"/>
      <c r="AO4" s="86"/>
      <c r="AP4" s="86"/>
      <c r="AQ4" s="87"/>
      <c r="AR4" s="85">
        <f>AR5</f>
        <v>45698</v>
      </c>
      <c r="AS4" s="86"/>
      <c r="AT4" s="86"/>
      <c r="AU4" s="86"/>
      <c r="AV4" s="86"/>
      <c r="AW4" s="86"/>
      <c r="AX4" s="87"/>
      <c r="AY4" s="85">
        <f>AY5</f>
        <v>45705</v>
      </c>
      <c r="AZ4" s="86"/>
      <c r="BA4" s="86"/>
      <c r="BB4" s="86"/>
      <c r="BC4" s="86"/>
      <c r="BD4" s="86"/>
      <c r="BE4" s="87"/>
      <c r="BF4" s="85">
        <f>BF5</f>
        <v>45712</v>
      </c>
      <c r="BG4" s="86"/>
      <c r="BH4" s="86"/>
      <c r="BI4" s="86"/>
      <c r="BJ4" s="86"/>
      <c r="BK4" s="86"/>
      <c r="BL4" s="87"/>
      <c r="BM4" s="85">
        <f>BM5</f>
        <v>45719</v>
      </c>
      <c r="BN4" s="86"/>
      <c r="BO4" s="86"/>
      <c r="BP4" s="86"/>
      <c r="BQ4" s="86"/>
      <c r="BR4" s="86"/>
      <c r="BS4" s="87"/>
      <c r="BT4" s="85">
        <f>BT5</f>
        <v>45726</v>
      </c>
      <c r="BU4" s="86"/>
      <c r="BV4" s="86"/>
      <c r="BW4" s="86"/>
      <c r="BX4" s="86"/>
      <c r="BY4" s="86"/>
      <c r="BZ4" s="87"/>
      <c r="CA4" s="85">
        <f>CA5</f>
        <v>45733</v>
      </c>
      <c r="CB4" s="86"/>
      <c r="CC4" s="86"/>
      <c r="CD4" s="86"/>
      <c r="CE4" s="86"/>
      <c r="CF4" s="86"/>
      <c r="CG4" s="87"/>
      <c r="CH4" s="85">
        <f>CH5</f>
        <v>45740</v>
      </c>
      <c r="CI4" s="86"/>
      <c r="CJ4" s="86"/>
      <c r="CK4" s="86"/>
      <c r="CL4" s="86"/>
      <c r="CM4" s="86"/>
      <c r="CN4" s="87"/>
      <c r="CO4" s="85">
        <f>CH4+7</f>
        <v>45747</v>
      </c>
      <c r="CP4" s="86"/>
      <c r="CQ4" s="86"/>
      <c r="CR4" s="86"/>
      <c r="CS4" s="86"/>
      <c r="CT4" s="86"/>
      <c r="CU4" s="87"/>
      <c r="CV4" s="85">
        <f>CO4+7</f>
        <v>45754</v>
      </c>
      <c r="CW4" s="86"/>
      <c r="CX4" s="86"/>
      <c r="CY4" s="86"/>
      <c r="CZ4" s="86"/>
      <c r="DA4" s="86"/>
      <c r="DB4" s="87"/>
      <c r="DC4" s="85">
        <f>CV4+7</f>
        <v>45761</v>
      </c>
      <c r="DD4" s="86"/>
      <c r="DE4" s="86"/>
      <c r="DF4" s="86"/>
      <c r="DG4" s="86"/>
      <c r="DH4" s="86"/>
      <c r="DI4" s="87"/>
    </row>
    <row r="5" spans="1:113" ht="15" customHeight="1" x14ac:dyDescent="0.35">
      <c r="A5" s="31" t="s">
        <v>9</v>
      </c>
      <c r="B5" s="41"/>
      <c r="C5" s="41"/>
      <c r="D5" s="41"/>
      <c r="E5" s="41"/>
      <c r="F5" s="41"/>
      <c r="G5" s="41"/>
      <c r="I5" s="49">
        <f>Inicio_del_proyecto-WEEKDAY(Inicio_del_proyecto,1)+2+7*(Semana_para_mostrar-1)</f>
        <v>45663</v>
      </c>
      <c r="J5" s="50">
        <f>I5+1</f>
        <v>45664</v>
      </c>
      <c r="K5" s="50">
        <f t="shared" ref="K5:AX5" si="0">J5+1</f>
        <v>45665</v>
      </c>
      <c r="L5" s="50">
        <f t="shared" si="0"/>
        <v>45666</v>
      </c>
      <c r="M5" s="50">
        <f t="shared" si="0"/>
        <v>45667</v>
      </c>
      <c r="N5" s="50">
        <f t="shared" si="0"/>
        <v>45668</v>
      </c>
      <c r="O5" s="51">
        <f t="shared" si="0"/>
        <v>45669</v>
      </c>
      <c r="P5" s="49">
        <f>O5+1</f>
        <v>45670</v>
      </c>
      <c r="Q5" s="50">
        <f>P5+1</f>
        <v>45671</v>
      </c>
      <c r="R5" s="50">
        <f t="shared" si="0"/>
        <v>45672</v>
      </c>
      <c r="S5" s="50">
        <f t="shared" si="0"/>
        <v>45673</v>
      </c>
      <c r="T5" s="50">
        <f t="shared" si="0"/>
        <v>45674</v>
      </c>
      <c r="U5" s="50">
        <f t="shared" si="0"/>
        <v>45675</v>
      </c>
      <c r="V5" s="51">
        <f t="shared" si="0"/>
        <v>45676</v>
      </c>
      <c r="W5" s="49">
        <f>V5+1</f>
        <v>45677</v>
      </c>
      <c r="X5" s="50">
        <f>W5+1</f>
        <v>45678</v>
      </c>
      <c r="Y5" s="50">
        <f t="shared" si="0"/>
        <v>45679</v>
      </c>
      <c r="Z5" s="50">
        <f t="shared" si="0"/>
        <v>45680</v>
      </c>
      <c r="AA5" s="50">
        <f t="shared" si="0"/>
        <v>45681</v>
      </c>
      <c r="AB5" s="50">
        <f t="shared" si="0"/>
        <v>45682</v>
      </c>
      <c r="AC5" s="51">
        <f t="shared" si="0"/>
        <v>45683</v>
      </c>
      <c r="AD5" s="49">
        <f>AC5+1</f>
        <v>45684</v>
      </c>
      <c r="AE5" s="50">
        <f>AD5+1</f>
        <v>45685</v>
      </c>
      <c r="AF5" s="50">
        <f t="shared" si="0"/>
        <v>45686</v>
      </c>
      <c r="AG5" s="50">
        <f t="shared" si="0"/>
        <v>45687</v>
      </c>
      <c r="AH5" s="50">
        <f t="shared" si="0"/>
        <v>45688</v>
      </c>
      <c r="AI5" s="50">
        <f t="shared" si="0"/>
        <v>45689</v>
      </c>
      <c r="AJ5" s="51">
        <f t="shared" si="0"/>
        <v>45690</v>
      </c>
      <c r="AK5" s="49">
        <f>AJ5+1</f>
        <v>45691</v>
      </c>
      <c r="AL5" s="50">
        <f>AK5+1</f>
        <v>45692</v>
      </c>
      <c r="AM5" s="50">
        <f t="shared" si="0"/>
        <v>45693</v>
      </c>
      <c r="AN5" s="50">
        <f t="shared" si="0"/>
        <v>45694</v>
      </c>
      <c r="AO5" s="50">
        <f t="shared" si="0"/>
        <v>45695</v>
      </c>
      <c r="AP5" s="50">
        <f t="shared" si="0"/>
        <v>45696</v>
      </c>
      <c r="AQ5" s="51">
        <f t="shared" si="0"/>
        <v>45697</v>
      </c>
      <c r="AR5" s="49">
        <f>AQ5+1</f>
        <v>45698</v>
      </c>
      <c r="AS5" s="50">
        <f>AR5+1</f>
        <v>45699</v>
      </c>
      <c r="AT5" s="50">
        <f t="shared" si="0"/>
        <v>45700</v>
      </c>
      <c r="AU5" s="50">
        <f t="shared" si="0"/>
        <v>45701</v>
      </c>
      <c r="AV5" s="50">
        <f t="shared" si="0"/>
        <v>45702</v>
      </c>
      <c r="AW5" s="50">
        <f t="shared" si="0"/>
        <v>45703</v>
      </c>
      <c r="AX5" s="51">
        <f t="shared" si="0"/>
        <v>45704</v>
      </c>
      <c r="AY5" s="49">
        <f>AX5+1</f>
        <v>45705</v>
      </c>
      <c r="AZ5" s="50">
        <f>AY5+1</f>
        <v>45706</v>
      </c>
      <c r="BA5" s="50">
        <f t="shared" ref="BA5:BE5" si="1">AZ5+1</f>
        <v>45707</v>
      </c>
      <c r="BB5" s="50">
        <f t="shared" si="1"/>
        <v>45708</v>
      </c>
      <c r="BC5" s="50">
        <f t="shared" si="1"/>
        <v>45709</v>
      </c>
      <c r="BD5" s="50">
        <f t="shared" si="1"/>
        <v>45710</v>
      </c>
      <c r="BE5" s="51">
        <f t="shared" si="1"/>
        <v>45711</v>
      </c>
      <c r="BF5" s="49">
        <f>BE5+1</f>
        <v>45712</v>
      </c>
      <c r="BG5" s="50">
        <f>BF5+1</f>
        <v>45713</v>
      </c>
      <c r="BH5" s="50">
        <f t="shared" ref="BH5:BK5" si="2">BG5+1</f>
        <v>45714</v>
      </c>
      <c r="BI5" s="50">
        <f t="shared" si="2"/>
        <v>45715</v>
      </c>
      <c r="BJ5" s="50">
        <f t="shared" si="2"/>
        <v>45716</v>
      </c>
      <c r="BK5" s="50">
        <f t="shared" si="2"/>
        <v>45717</v>
      </c>
      <c r="BL5" s="51">
        <f>BK5+1</f>
        <v>45718</v>
      </c>
      <c r="BM5" s="49">
        <f>BL5+1</f>
        <v>45719</v>
      </c>
      <c r="BN5" s="49">
        <f t="shared" ref="BN5:CN5" si="3">BM5+1</f>
        <v>45720</v>
      </c>
      <c r="BO5" s="49">
        <f t="shared" si="3"/>
        <v>45721</v>
      </c>
      <c r="BP5" s="49">
        <f t="shared" si="3"/>
        <v>45722</v>
      </c>
      <c r="BQ5" s="49">
        <f t="shared" si="3"/>
        <v>45723</v>
      </c>
      <c r="BR5" s="49">
        <f t="shared" si="3"/>
        <v>45724</v>
      </c>
      <c r="BS5" s="49">
        <f t="shared" si="3"/>
        <v>45725</v>
      </c>
      <c r="BT5" s="49">
        <f t="shared" si="3"/>
        <v>45726</v>
      </c>
      <c r="BU5" s="49">
        <f t="shared" si="3"/>
        <v>45727</v>
      </c>
      <c r="BV5" s="49">
        <f t="shared" si="3"/>
        <v>45728</v>
      </c>
      <c r="BW5" s="49">
        <f t="shared" si="3"/>
        <v>45729</v>
      </c>
      <c r="BX5" s="49">
        <f t="shared" si="3"/>
        <v>45730</v>
      </c>
      <c r="BY5" s="49">
        <f t="shared" si="3"/>
        <v>45731</v>
      </c>
      <c r="BZ5" s="49">
        <f t="shared" si="3"/>
        <v>45732</v>
      </c>
      <c r="CA5" s="49">
        <f t="shared" si="3"/>
        <v>45733</v>
      </c>
      <c r="CB5" s="49">
        <f t="shared" si="3"/>
        <v>45734</v>
      </c>
      <c r="CC5" s="49">
        <f t="shared" si="3"/>
        <v>45735</v>
      </c>
      <c r="CD5" s="49">
        <f t="shared" si="3"/>
        <v>45736</v>
      </c>
      <c r="CE5" s="49">
        <f t="shared" si="3"/>
        <v>45737</v>
      </c>
      <c r="CF5" s="49">
        <f t="shared" si="3"/>
        <v>45738</v>
      </c>
      <c r="CG5" s="49">
        <f t="shared" si="3"/>
        <v>45739</v>
      </c>
      <c r="CH5" s="49">
        <f t="shared" si="3"/>
        <v>45740</v>
      </c>
      <c r="CI5" s="49">
        <f t="shared" si="3"/>
        <v>45741</v>
      </c>
      <c r="CJ5" s="49">
        <f t="shared" si="3"/>
        <v>45742</v>
      </c>
      <c r="CK5" s="49">
        <f t="shared" si="3"/>
        <v>45743</v>
      </c>
      <c r="CL5" s="49">
        <f t="shared" si="3"/>
        <v>45744</v>
      </c>
      <c r="CM5" s="49">
        <f t="shared" si="3"/>
        <v>45745</v>
      </c>
      <c r="CN5" s="49">
        <f t="shared" si="3"/>
        <v>45746</v>
      </c>
      <c r="CO5" s="49">
        <f>CN5+1</f>
        <v>45747</v>
      </c>
      <c r="CP5" s="49">
        <f>CO5+1</f>
        <v>45748</v>
      </c>
      <c r="CQ5" s="49">
        <f t="shared" ref="CQ5:CU5" si="4">CP5+1</f>
        <v>45749</v>
      </c>
      <c r="CR5" s="49">
        <f t="shared" si="4"/>
        <v>45750</v>
      </c>
      <c r="CS5" s="49">
        <f t="shared" si="4"/>
        <v>45751</v>
      </c>
      <c r="CT5" s="49">
        <f t="shared" si="4"/>
        <v>45752</v>
      </c>
      <c r="CU5" s="49">
        <f t="shared" si="4"/>
        <v>45753</v>
      </c>
      <c r="CV5" s="49">
        <f>CU5+1</f>
        <v>45754</v>
      </c>
      <c r="CW5" s="49">
        <f>CV5+1</f>
        <v>45755</v>
      </c>
      <c r="CX5" s="49">
        <f t="shared" ref="CX5" si="5">CW5+1</f>
        <v>45756</v>
      </c>
      <c r="CY5" s="49">
        <f t="shared" ref="CY5" si="6">CX5+1</f>
        <v>45757</v>
      </c>
      <c r="CZ5" s="49">
        <f t="shared" ref="CZ5" si="7">CY5+1</f>
        <v>45758</v>
      </c>
      <c r="DA5" s="49">
        <f t="shared" ref="DA5" si="8">CZ5+1</f>
        <v>45759</v>
      </c>
      <c r="DB5" s="49">
        <f t="shared" ref="DB5" si="9">DA5+1</f>
        <v>45760</v>
      </c>
      <c r="DC5" s="49">
        <f>DB5+1</f>
        <v>45761</v>
      </c>
      <c r="DD5" s="49">
        <f>DC5+1</f>
        <v>45762</v>
      </c>
      <c r="DE5" s="49">
        <f t="shared" ref="DE5" si="10">DD5+1</f>
        <v>45763</v>
      </c>
      <c r="DF5" s="49">
        <f t="shared" ref="DF5" si="11">DE5+1</f>
        <v>45764</v>
      </c>
      <c r="DG5" s="49">
        <f t="shared" ref="DG5" si="12">DF5+1</f>
        <v>45765</v>
      </c>
      <c r="DH5" s="49">
        <f t="shared" ref="DH5" si="13">DG5+1</f>
        <v>45766</v>
      </c>
      <c r="DI5" s="49">
        <f t="shared" ref="DI5" si="14">DH5+1</f>
        <v>45767</v>
      </c>
    </row>
    <row r="6" spans="1:113" ht="30" customHeight="1" thickBot="1" x14ac:dyDescent="0.4">
      <c r="A6" s="31" t="s">
        <v>10</v>
      </c>
      <c r="B6" s="8" t="s">
        <v>11</v>
      </c>
      <c r="C6" s="9"/>
      <c r="D6" s="9" t="s">
        <v>12</v>
      </c>
      <c r="E6" s="9" t="s">
        <v>13</v>
      </c>
      <c r="F6" s="9" t="s">
        <v>14</v>
      </c>
      <c r="G6" s="9"/>
      <c r="H6" s="9" t="s">
        <v>15</v>
      </c>
      <c r="I6" s="10" t="str">
        <f t="shared" ref="I6" si="15">LEFT(TEXT(I5,"ddd"),1)</f>
        <v>l</v>
      </c>
      <c r="J6" s="10" t="str">
        <f t="shared" ref="J6:AR6" si="16">LEFT(TEXT(J5,"ddd"),1)</f>
        <v>m</v>
      </c>
      <c r="K6" s="10" t="str">
        <f t="shared" si="16"/>
        <v>m</v>
      </c>
      <c r="L6" s="10" t="str">
        <f t="shared" si="16"/>
        <v>j</v>
      </c>
      <c r="M6" s="10" t="str">
        <f t="shared" si="16"/>
        <v>v</v>
      </c>
      <c r="N6" s="10" t="str">
        <f t="shared" si="16"/>
        <v>s</v>
      </c>
      <c r="O6" s="10" t="str">
        <f t="shared" si="16"/>
        <v>d</v>
      </c>
      <c r="P6" s="10" t="str">
        <f t="shared" si="16"/>
        <v>l</v>
      </c>
      <c r="Q6" s="10" t="str">
        <f t="shared" si="16"/>
        <v>m</v>
      </c>
      <c r="R6" s="10" t="str">
        <f t="shared" si="16"/>
        <v>m</v>
      </c>
      <c r="S6" s="10" t="str">
        <f t="shared" si="16"/>
        <v>j</v>
      </c>
      <c r="T6" s="10" t="str">
        <f t="shared" si="16"/>
        <v>v</v>
      </c>
      <c r="U6" s="10" t="str">
        <f t="shared" si="16"/>
        <v>s</v>
      </c>
      <c r="V6" s="10" t="str">
        <f t="shared" si="16"/>
        <v>d</v>
      </c>
      <c r="W6" s="10" t="str">
        <f t="shared" si="16"/>
        <v>l</v>
      </c>
      <c r="X6" s="10" t="str">
        <f t="shared" si="16"/>
        <v>m</v>
      </c>
      <c r="Y6" s="10" t="str">
        <f t="shared" si="16"/>
        <v>m</v>
      </c>
      <c r="Z6" s="10" t="str">
        <f t="shared" si="16"/>
        <v>j</v>
      </c>
      <c r="AA6" s="10" t="str">
        <f t="shared" si="16"/>
        <v>v</v>
      </c>
      <c r="AB6" s="10" t="str">
        <f t="shared" si="16"/>
        <v>s</v>
      </c>
      <c r="AC6" s="10" t="str">
        <f t="shared" si="16"/>
        <v>d</v>
      </c>
      <c r="AD6" s="10" t="str">
        <f t="shared" si="16"/>
        <v>l</v>
      </c>
      <c r="AE6" s="10" t="str">
        <f t="shared" si="16"/>
        <v>m</v>
      </c>
      <c r="AF6" s="10" t="str">
        <f t="shared" si="16"/>
        <v>m</v>
      </c>
      <c r="AG6" s="10" t="str">
        <f t="shared" si="16"/>
        <v>j</v>
      </c>
      <c r="AH6" s="10" t="str">
        <f t="shared" si="16"/>
        <v>v</v>
      </c>
      <c r="AI6" s="10" t="str">
        <f t="shared" si="16"/>
        <v>s</v>
      </c>
      <c r="AJ6" s="10" t="str">
        <f t="shared" si="16"/>
        <v>d</v>
      </c>
      <c r="AK6" s="10" t="str">
        <f t="shared" si="16"/>
        <v>l</v>
      </c>
      <c r="AL6" s="10" t="str">
        <f t="shared" si="16"/>
        <v>m</v>
      </c>
      <c r="AM6" s="10" t="str">
        <f t="shared" si="16"/>
        <v>m</v>
      </c>
      <c r="AN6" s="10" t="str">
        <f t="shared" si="16"/>
        <v>j</v>
      </c>
      <c r="AO6" s="10" t="str">
        <f t="shared" si="16"/>
        <v>v</v>
      </c>
      <c r="AP6" s="10" t="str">
        <f t="shared" si="16"/>
        <v>s</v>
      </c>
      <c r="AQ6" s="10" t="str">
        <f t="shared" si="16"/>
        <v>d</v>
      </c>
      <c r="AR6" s="10" t="str">
        <f t="shared" si="16"/>
        <v>l</v>
      </c>
      <c r="AS6" s="10" t="str">
        <f t="shared" ref="AS6:CU6" si="17">LEFT(TEXT(AS5,"ddd"),1)</f>
        <v>m</v>
      </c>
      <c r="AT6" s="10" t="str">
        <f t="shared" si="17"/>
        <v>m</v>
      </c>
      <c r="AU6" s="10" t="str">
        <f t="shared" si="17"/>
        <v>j</v>
      </c>
      <c r="AV6" s="10" t="str">
        <f t="shared" si="17"/>
        <v>v</v>
      </c>
      <c r="AW6" s="10" t="str">
        <f t="shared" si="17"/>
        <v>s</v>
      </c>
      <c r="AX6" s="10" t="str">
        <f t="shared" si="17"/>
        <v>d</v>
      </c>
      <c r="AY6" s="10" t="str">
        <f t="shared" si="17"/>
        <v>l</v>
      </c>
      <c r="AZ6" s="10" t="str">
        <f t="shared" si="17"/>
        <v>m</v>
      </c>
      <c r="BA6" s="10" t="str">
        <f t="shared" si="17"/>
        <v>m</v>
      </c>
      <c r="BB6" s="10" t="str">
        <f t="shared" si="17"/>
        <v>j</v>
      </c>
      <c r="BC6" s="10" t="str">
        <f t="shared" si="17"/>
        <v>v</v>
      </c>
      <c r="BD6" s="10" t="str">
        <f t="shared" si="17"/>
        <v>s</v>
      </c>
      <c r="BE6" s="10" t="str">
        <f t="shared" si="17"/>
        <v>d</v>
      </c>
      <c r="BF6" s="10" t="str">
        <f t="shared" si="17"/>
        <v>l</v>
      </c>
      <c r="BG6" s="10" t="str">
        <f t="shared" si="17"/>
        <v>m</v>
      </c>
      <c r="BH6" s="10" t="str">
        <f t="shared" si="17"/>
        <v>m</v>
      </c>
      <c r="BI6" s="10" t="str">
        <f t="shared" si="17"/>
        <v>j</v>
      </c>
      <c r="BJ6" s="10" t="str">
        <f t="shared" si="17"/>
        <v>v</v>
      </c>
      <c r="BK6" s="10" t="str">
        <f t="shared" si="17"/>
        <v>s</v>
      </c>
      <c r="BL6" s="10" t="str">
        <f t="shared" si="17"/>
        <v>d</v>
      </c>
      <c r="BM6" s="10" t="str">
        <f t="shared" si="17"/>
        <v>l</v>
      </c>
      <c r="BN6" s="10" t="str">
        <f t="shared" si="17"/>
        <v>m</v>
      </c>
      <c r="BO6" s="10" t="str">
        <f t="shared" si="17"/>
        <v>m</v>
      </c>
      <c r="BP6" s="10" t="str">
        <f t="shared" si="17"/>
        <v>j</v>
      </c>
      <c r="BQ6" s="10" t="str">
        <f t="shared" si="17"/>
        <v>v</v>
      </c>
      <c r="BR6" s="10" t="str">
        <f t="shared" si="17"/>
        <v>s</v>
      </c>
      <c r="BS6" s="10" t="str">
        <f t="shared" si="17"/>
        <v>d</v>
      </c>
      <c r="BT6" s="10" t="str">
        <f t="shared" si="17"/>
        <v>l</v>
      </c>
      <c r="BU6" s="10" t="str">
        <f t="shared" si="17"/>
        <v>m</v>
      </c>
      <c r="BV6" s="10" t="str">
        <f t="shared" si="17"/>
        <v>m</v>
      </c>
      <c r="BW6" s="10" t="str">
        <f t="shared" si="17"/>
        <v>j</v>
      </c>
      <c r="BX6" s="10" t="str">
        <f t="shared" si="17"/>
        <v>v</v>
      </c>
      <c r="BY6" s="10" t="str">
        <f t="shared" si="17"/>
        <v>s</v>
      </c>
      <c r="BZ6" s="10" t="str">
        <f t="shared" si="17"/>
        <v>d</v>
      </c>
      <c r="CA6" s="10" t="str">
        <f t="shared" si="17"/>
        <v>l</v>
      </c>
      <c r="CB6" s="10" t="str">
        <f t="shared" si="17"/>
        <v>m</v>
      </c>
      <c r="CC6" s="10" t="str">
        <f t="shared" si="17"/>
        <v>m</v>
      </c>
      <c r="CD6" s="10" t="str">
        <f t="shared" si="17"/>
        <v>j</v>
      </c>
      <c r="CE6" s="10" t="str">
        <f t="shared" si="17"/>
        <v>v</v>
      </c>
      <c r="CF6" s="10" t="str">
        <f t="shared" si="17"/>
        <v>s</v>
      </c>
      <c r="CG6" s="10" t="str">
        <f t="shared" si="17"/>
        <v>d</v>
      </c>
      <c r="CH6" s="10" t="str">
        <f t="shared" si="17"/>
        <v>l</v>
      </c>
      <c r="CI6" s="10" t="str">
        <f t="shared" si="17"/>
        <v>m</v>
      </c>
      <c r="CJ6" s="10" t="str">
        <f t="shared" si="17"/>
        <v>m</v>
      </c>
      <c r="CK6" s="10" t="str">
        <f t="shared" si="17"/>
        <v>j</v>
      </c>
      <c r="CL6" s="10" t="str">
        <f t="shared" si="17"/>
        <v>v</v>
      </c>
      <c r="CM6" s="10" t="str">
        <f t="shared" si="17"/>
        <v>s</v>
      </c>
      <c r="CN6" s="10" t="str">
        <f t="shared" si="17"/>
        <v>d</v>
      </c>
      <c r="CO6" s="10" t="str">
        <f t="shared" si="17"/>
        <v>l</v>
      </c>
      <c r="CP6" s="10" t="str">
        <f t="shared" si="17"/>
        <v>m</v>
      </c>
      <c r="CQ6" s="10" t="str">
        <f t="shared" si="17"/>
        <v>m</v>
      </c>
      <c r="CR6" s="10" t="str">
        <f t="shared" si="17"/>
        <v>j</v>
      </c>
      <c r="CS6" s="10" t="str">
        <f t="shared" si="17"/>
        <v>v</v>
      </c>
      <c r="CT6" s="10" t="str">
        <f t="shared" si="17"/>
        <v>s</v>
      </c>
      <c r="CU6" s="10" t="str">
        <f t="shared" si="17"/>
        <v>d</v>
      </c>
      <c r="CV6" s="10" t="str">
        <f t="shared" ref="CV6:DB6" si="18">LEFT(TEXT(CV5,"ddd"),1)</f>
        <v>l</v>
      </c>
      <c r="CW6" s="10" t="str">
        <f t="shared" si="18"/>
        <v>m</v>
      </c>
      <c r="CX6" s="10" t="str">
        <f t="shared" si="18"/>
        <v>m</v>
      </c>
      <c r="CY6" s="10" t="str">
        <f t="shared" si="18"/>
        <v>j</v>
      </c>
      <c r="CZ6" s="10" t="str">
        <f t="shared" si="18"/>
        <v>v</v>
      </c>
      <c r="DA6" s="10" t="str">
        <f t="shared" si="18"/>
        <v>s</v>
      </c>
      <c r="DB6" s="10" t="str">
        <f t="shared" si="18"/>
        <v>d</v>
      </c>
      <c r="DC6" s="10" t="str">
        <f t="shared" ref="DC6:DI6" si="19">LEFT(TEXT(DC5,"ddd"),1)</f>
        <v>l</v>
      </c>
      <c r="DD6" s="10" t="str">
        <f t="shared" si="19"/>
        <v>m</v>
      </c>
      <c r="DE6" s="10" t="str">
        <f t="shared" si="19"/>
        <v>m</v>
      </c>
      <c r="DF6" s="10" t="str">
        <f t="shared" si="19"/>
        <v>j</v>
      </c>
      <c r="DG6" s="10" t="str">
        <f t="shared" si="19"/>
        <v>v</v>
      </c>
      <c r="DH6" s="10" t="str">
        <f t="shared" si="19"/>
        <v>s</v>
      </c>
      <c r="DI6" s="10" t="str">
        <f t="shared" si="19"/>
        <v>d</v>
      </c>
    </row>
    <row r="7" spans="1:113" ht="4" customHeight="1" thickBot="1" x14ac:dyDescent="0.4">
      <c r="A7" s="30" t="s">
        <v>16</v>
      </c>
      <c r="C7" s="33"/>
      <c r="E7"/>
      <c r="H7" t="str">
        <f>IF(OR(ISBLANK(task_start),ISBLANK(task_end)),"",task_end-task_start+1)</f>
        <v/>
      </c>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row>
    <row r="8" spans="1:113" s="3" customFormat="1" ht="30" customHeight="1" thickBot="1" x14ac:dyDescent="0.4">
      <c r="A8" s="31" t="s">
        <v>17</v>
      </c>
      <c r="B8" s="74" t="s">
        <v>57</v>
      </c>
      <c r="C8" s="36"/>
      <c r="D8" s="13"/>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row>
    <row r="9" spans="1:113" s="3" customFormat="1" ht="30" customHeight="1" thickBot="1" x14ac:dyDescent="0.4">
      <c r="A9" s="31" t="s">
        <v>18</v>
      </c>
      <c r="B9" s="75" t="s">
        <v>36</v>
      </c>
      <c r="C9" s="76"/>
      <c r="D9" s="14">
        <v>1</v>
      </c>
      <c r="E9" s="64">
        <f>Inicio_del_proyecto</f>
        <v>45663</v>
      </c>
      <c r="F9" s="64">
        <v>45669</v>
      </c>
      <c r="G9" s="54"/>
      <c r="H9" s="54">
        <f t="shared" ref="H9:H31" si="20">IF(OR(ISBLANK(task_start),ISBLANK(task_end)),"",task_end-task_start+1)</f>
        <v>7</v>
      </c>
      <c r="I9" s="55"/>
      <c r="J9" s="55"/>
      <c r="K9" s="55"/>
      <c r="L9" s="55"/>
      <c r="M9" s="55"/>
      <c r="N9" s="55"/>
      <c r="O9" s="55"/>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5"/>
      <c r="AS9" s="55"/>
      <c r="AT9" s="55"/>
      <c r="AU9" s="55"/>
      <c r="AV9" s="55"/>
      <c r="AW9" s="55"/>
      <c r="AX9" s="55"/>
      <c r="AY9" s="55"/>
      <c r="AZ9" s="55"/>
      <c r="BA9" s="55"/>
      <c r="BB9" s="55"/>
      <c r="BC9" s="55"/>
      <c r="BD9" s="55"/>
      <c r="BE9" s="55"/>
      <c r="BF9" s="55"/>
      <c r="BG9" s="55"/>
      <c r="BH9" s="55"/>
      <c r="BI9" s="55"/>
      <c r="BJ9" s="55"/>
      <c r="BK9" s="55"/>
      <c r="BL9" s="55"/>
      <c r="BM9" s="55"/>
      <c r="BN9" s="55"/>
      <c r="BO9" s="55"/>
      <c r="BP9" s="55"/>
      <c r="BQ9" s="55"/>
      <c r="BR9" s="55"/>
      <c r="BS9" s="55"/>
      <c r="BT9" s="55"/>
      <c r="BU9" s="55"/>
      <c r="BV9" s="55"/>
      <c r="BW9" s="55"/>
      <c r="BX9" s="55"/>
      <c r="BY9" s="55"/>
      <c r="BZ9" s="55"/>
      <c r="CA9" s="55"/>
      <c r="CB9" s="55"/>
      <c r="CC9" s="55"/>
      <c r="CD9" s="55"/>
      <c r="CE9" s="55"/>
      <c r="CF9" s="55"/>
      <c r="CG9" s="55"/>
      <c r="CH9" s="55"/>
      <c r="CI9" s="55"/>
      <c r="CJ9" s="55"/>
      <c r="CK9" s="55"/>
      <c r="CL9" s="55"/>
      <c r="CM9" s="55"/>
      <c r="CN9" s="55"/>
      <c r="CO9" s="55"/>
      <c r="CP9" s="55"/>
      <c r="CQ9" s="55"/>
      <c r="CR9" s="55"/>
      <c r="CS9" s="55"/>
      <c r="CT9" s="55"/>
      <c r="CU9" s="55"/>
      <c r="CV9" s="55"/>
      <c r="CW9" s="55"/>
      <c r="CX9" s="55"/>
      <c r="CY9" s="55"/>
      <c r="CZ9" s="55"/>
      <c r="DA9" s="55"/>
      <c r="DB9" s="55"/>
      <c r="DC9" s="55"/>
      <c r="DD9" s="55"/>
      <c r="DE9" s="55"/>
      <c r="DF9" s="55"/>
      <c r="DG9" s="55"/>
      <c r="DH9" s="55"/>
      <c r="DI9" s="55"/>
    </row>
    <row r="10" spans="1:113" s="3" customFormat="1" ht="30" customHeight="1" thickBot="1" x14ac:dyDescent="0.4">
      <c r="A10" s="31" t="s">
        <v>19</v>
      </c>
      <c r="B10" s="75" t="s">
        <v>43</v>
      </c>
      <c r="C10" s="76"/>
      <c r="D10" s="14">
        <v>1</v>
      </c>
      <c r="E10" s="64">
        <f>F9</f>
        <v>45669</v>
      </c>
      <c r="F10" s="64">
        <v>45677</v>
      </c>
      <c r="G10" s="54"/>
      <c r="H10" s="54">
        <f t="shared" si="20"/>
        <v>9</v>
      </c>
      <c r="I10" s="55"/>
      <c r="J10" s="55"/>
      <c r="K10" s="55"/>
      <c r="L10" s="55"/>
      <c r="M10" s="55"/>
      <c r="N10" s="55"/>
      <c r="O10" s="55"/>
      <c r="P10" s="55"/>
      <c r="Q10" s="55"/>
      <c r="R10" s="55"/>
      <c r="S10" s="55"/>
      <c r="T10" s="55"/>
      <c r="U10" s="56"/>
      <c r="V10" s="56"/>
      <c r="W10" s="55"/>
      <c r="X10" s="55"/>
      <c r="Y10" s="55"/>
      <c r="Z10" s="55"/>
      <c r="AA10" s="55"/>
      <c r="AB10" s="55"/>
      <c r="AC10" s="55"/>
      <c r="AD10" s="55"/>
      <c r="AE10" s="55"/>
      <c r="AF10" s="55"/>
      <c r="AG10" s="55"/>
      <c r="AH10" s="55"/>
      <c r="AI10" s="55"/>
      <c r="AJ10" s="55"/>
      <c r="AK10" s="55"/>
      <c r="AL10" s="55"/>
      <c r="AM10" s="55"/>
      <c r="AN10" s="55"/>
      <c r="AO10" s="55"/>
      <c r="AP10" s="55"/>
      <c r="AQ10" s="55"/>
      <c r="AR10" s="55"/>
      <c r="AS10" s="55"/>
      <c r="AT10" s="55"/>
      <c r="AU10" s="55"/>
      <c r="AV10" s="55"/>
      <c r="AW10" s="55"/>
      <c r="AX10" s="55"/>
      <c r="AY10" s="55"/>
      <c r="AZ10" s="55"/>
      <c r="BA10" s="55"/>
      <c r="BB10" s="55"/>
      <c r="BC10" s="55"/>
      <c r="BD10" s="55"/>
      <c r="BE10" s="55"/>
      <c r="BF10" s="55"/>
      <c r="BG10" s="55"/>
      <c r="BH10" s="55"/>
      <c r="BI10" s="55"/>
      <c r="BJ10" s="55"/>
      <c r="BK10" s="55"/>
      <c r="BL10" s="55"/>
      <c r="BM10" s="55"/>
      <c r="BN10" s="55"/>
      <c r="BO10" s="55"/>
      <c r="BP10" s="55"/>
      <c r="BQ10" s="55"/>
      <c r="BR10" s="55"/>
      <c r="BS10" s="55"/>
      <c r="BT10" s="55"/>
      <c r="BU10" s="55"/>
      <c r="BV10" s="55"/>
      <c r="BW10" s="55"/>
      <c r="BX10" s="55"/>
      <c r="BY10" s="55"/>
      <c r="BZ10" s="55"/>
      <c r="CA10" s="55"/>
      <c r="CB10" s="55"/>
      <c r="CC10" s="55"/>
      <c r="CD10" s="55"/>
      <c r="CE10" s="55"/>
      <c r="CF10" s="55"/>
      <c r="CG10" s="55"/>
      <c r="CH10" s="55"/>
      <c r="CI10" s="55"/>
      <c r="CJ10" s="55"/>
      <c r="CK10" s="55"/>
      <c r="CL10" s="55"/>
      <c r="CM10" s="55"/>
      <c r="CN10" s="55"/>
      <c r="CO10" s="55"/>
      <c r="CP10" s="55"/>
      <c r="CQ10" s="55"/>
      <c r="CR10" s="55"/>
      <c r="CS10" s="55"/>
      <c r="CT10" s="55"/>
      <c r="CU10" s="55"/>
      <c r="CV10" s="55"/>
      <c r="CW10" s="55"/>
      <c r="CX10" s="55"/>
      <c r="CY10" s="55"/>
      <c r="CZ10" s="55"/>
      <c r="DA10" s="55"/>
      <c r="DB10" s="55"/>
      <c r="DC10" s="55"/>
      <c r="DD10" s="55"/>
      <c r="DE10" s="55"/>
      <c r="DF10" s="55"/>
      <c r="DG10" s="55"/>
      <c r="DH10" s="55"/>
      <c r="DI10" s="55"/>
    </row>
    <row r="11" spans="1:113" s="3" customFormat="1" ht="30" customHeight="1" thickBot="1" x14ac:dyDescent="0.4">
      <c r="A11" s="30"/>
      <c r="B11" s="75" t="s">
        <v>44</v>
      </c>
      <c r="C11" s="76"/>
      <c r="D11" s="14">
        <v>1</v>
      </c>
      <c r="E11" s="64">
        <v>45670</v>
      </c>
      <c r="F11" s="64">
        <v>45677</v>
      </c>
      <c r="G11" s="54"/>
      <c r="H11" s="54">
        <f t="shared" si="20"/>
        <v>8</v>
      </c>
      <c r="I11" s="55"/>
      <c r="J11" s="55"/>
      <c r="K11" s="55"/>
      <c r="L11" s="55"/>
      <c r="M11" s="55"/>
      <c r="N11" s="55"/>
      <c r="O11" s="55"/>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c r="AT11" s="55"/>
      <c r="AU11" s="55"/>
      <c r="AV11" s="55"/>
      <c r="AW11" s="55"/>
      <c r="AX11" s="55"/>
      <c r="AY11" s="55"/>
      <c r="AZ11" s="55"/>
      <c r="BA11" s="55"/>
      <c r="BB11" s="55"/>
      <c r="BC11" s="55"/>
      <c r="BD11" s="55"/>
      <c r="BE11" s="55"/>
      <c r="BF11" s="55"/>
      <c r="BG11" s="55"/>
      <c r="BH11" s="55"/>
      <c r="BI11" s="55"/>
      <c r="BJ11" s="55"/>
      <c r="BK11" s="55"/>
      <c r="BL11" s="55"/>
      <c r="BM11" s="55"/>
      <c r="BN11" s="55"/>
      <c r="BO11" s="55"/>
      <c r="BP11" s="55"/>
      <c r="BQ11" s="55"/>
      <c r="BR11" s="55"/>
      <c r="BS11" s="55"/>
      <c r="BT11" s="55"/>
      <c r="BU11" s="55"/>
      <c r="BV11" s="55"/>
      <c r="BW11" s="55"/>
      <c r="BX11" s="55"/>
      <c r="BY11" s="55"/>
      <c r="BZ11" s="55"/>
      <c r="CA11" s="55"/>
      <c r="CB11" s="55"/>
      <c r="CC11" s="55"/>
      <c r="CD11" s="55"/>
      <c r="CE11" s="55"/>
      <c r="CF11" s="55"/>
      <c r="CG11" s="55"/>
      <c r="CH11" s="55"/>
      <c r="CI11" s="55"/>
      <c r="CJ11" s="55"/>
      <c r="CK11" s="55"/>
      <c r="CL11" s="55"/>
      <c r="CM11" s="55"/>
      <c r="CN11" s="55"/>
      <c r="CO11" s="55"/>
      <c r="CP11" s="55"/>
      <c r="CQ11" s="55"/>
      <c r="CR11" s="55"/>
      <c r="CS11" s="55"/>
      <c r="CT11" s="55"/>
      <c r="CU11" s="55"/>
      <c r="CV11" s="55"/>
      <c r="CW11" s="55"/>
      <c r="CX11" s="55"/>
      <c r="CY11" s="55"/>
      <c r="CZ11" s="55"/>
      <c r="DA11" s="55"/>
      <c r="DB11" s="55"/>
      <c r="DC11" s="55"/>
      <c r="DD11" s="55"/>
      <c r="DE11" s="55"/>
      <c r="DF11" s="55"/>
      <c r="DG11" s="55"/>
      <c r="DH11" s="55"/>
      <c r="DI11" s="55"/>
    </row>
    <row r="12" spans="1:113" s="3" customFormat="1" ht="30" customHeight="1" thickBot="1" x14ac:dyDescent="0.4">
      <c r="A12" s="30"/>
      <c r="B12" s="75" t="s">
        <v>41</v>
      </c>
      <c r="C12" s="76"/>
      <c r="D12" s="14">
        <v>1</v>
      </c>
      <c r="E12" s="64">
        <v>45670</v>
      </c>
      <c r="F12" s="64">
        <v>45677</v>
      </c>
      <c r="G12" s="54"/>
      <c r="H12" s="54">
        <f t="shared" si="20"/>
        <v>8</v>
      </c>
      <c r="I12" s="55"/>
      <c r="J12" s="55"/>
      <c r="K12" s="55"/>
      <c r="L12" s="55"/>
      <c r="M12" s="55"/>
      <c r="N12" s="55"/>
      <c r="O12" s="55"/>
      <c r="P12" s="55"/>
      <c r="Q12" s="55"/>
      <c r="R12" s="55"/>
      <c r="S12" s="55"/>
      <c r="T12" s="55"/>
      <c r="U12" s="55"/>
      <c r="V12" s="55"/>
      <c r="W12" s="55"/>
      <c r="X12" s="55"/>
      <c r="Y12" s="56"/>
      <c r="Z12" s="55"/>
      <c r="AA12" s="55"/>
      <c r="AB12" s="55"/>
      <c r="AC12" s="55"/>
      <c r="AD12" s="55"/>
      <c r="AE12" s="55"/>
      <c r="AF12" s="55"/>
      <c r="AG12" s="55"/>
      <c r="AH12" s="55"/>
      <c r="AI12" s="55"/>
      <c r="AJ12" s="55"/>
      <c r="AK12" s="55"/>
      <c r="AL12" s="55"/>
      <c r="AM12" s="55"/>
      <c r="AN12" s="55"/>
      <c r="AO12" s="55"/>
      <c r="AP12" s="55"/>
      <c r="AQ12" s="55"/>
      <c r="AR12" s="55"/>
      <c r="AS12" s="55"/>
      <c r="AT12" s="55"/>
      <c r="AU12" s="55"/>
      <c r="AV12" s="55"/>
      <c r="AW12" s="55"/>
      <c r="AX12" s="55"/>
      <c r="AY12" s="55"/>
      <c r="AZ12" s="55"/>
      <c r="BA12" s="55"/>
      <c r="BB12" s="55"/>
      <c r="BC12" s="55"/>
      <c r="BD12" s="55"/>
      <c r="BE12" s="55"/>
      <c r="BF12" s="55"/>
      <c r="BG12" s="55"/>
      <c r="BH12" s="55"/>
      <c r="BI12" s="55"/>
      <c r="BJ12" s="55"/>
      <c r="BK12" s="55"/>
      <c r="BL12" s="55"/>
      <c r="BM12" s="55"/>
      <c r="BN12" s="55"/>
      <c r="BO12" s="55"/>
      <c r="BP12" s="55"/>
      <c r="BQ12" s="55"/>
      <c r="BR12" s="55"/>
      <c r="BS12" s="55"/>
      <c r="BT12" s="55"/>
      <c r="BU12" s="55"/>
      <c r="BV12" s="55"/>
      <c r="BW12" s="55"/>
      <c r="BX12" s="55"/>
      <c r="BY12" s="55"/>
      <c r="BZ12" s="55"/>
      <c r="CA12" s="55"/>
      <c r="CB12" s="55"/>
      <c r="CC12" s="55"/>
      <c r="CD12" s="55"/>
      <c r="CE12" s="55"/>
      <c r="CF12" s="55"/>
      <c r="CG12" s="55"/>
      <c r="CH12" s="55"/>
      <c r="CI12" s="55"/>
      <c r="CJ12" s="55"/>
      <c r="CK12" s="55"/>
      <c r="CL12" s="55"/>
      <c r="CM12" s="55"/>
      <c r="CN12" s="55"/>
      <c r="CO12" s="55"/>
      <c r="CP12" s="55"/>
      <c r="CQ12" s="55"/>
      <c r="CR12" s="55"/>
      <c r="CS12" s="55"/>
      <c r="CT12" s="55"/>
      <c r="CU12" s="55"/>
      <c r="CV12" s="55"/>
      <c r="CW12" s="55"/>
      <c r="CX12" s="55"/>
      <c r="CY12" s="55"/>
      <c r="CZ12" s="55"/>
      <c r="DA12" s="55"/>
      <c r="DB12" s="55"/>
      <c r="DC12" s="55"/>
      <c r="DD12" s="55"/>
      <c r="DE12" s="55"/>
      <c r="DF12" s="55"/>
      <c r="DG12" s="55"/>
      <c r="DH12" s="55"/>
      <c r="DI12" s="55"/>
    </row>
    <row r="13" spans="1:113" s="3" customFormat="1" ht="30" customHeight="1" thickBot="1" x14ac:dyDescent="0.4">
      <c r="A13" s="30"/>
      <c r="B13" s="75" t="s">
        <v>42</v>
      </c>
      <c r="C13" s="76"/>
      <c r="D13" s="14">
        <v>1</v>
      </c>
      <c r="E13" s="64">
        <v>45677</v>
      </c>
      <c r="F13" s="64">
        <v>45683</v>
      </c>
      <c r="G13" s="54"/>
      <c r="H13" s="54">
        <f t="shared" si="20"/>
        <v>7</v>
      </c>
      <c r="I13" s="55"/>
      <c r="J13" s="55"/>
      <c r="K13" s="55"/>
      <c r="L13" s="55"/>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c r="AT13" s="55"/>
      <c r="AU13" s="55"/>
      <c r="AV13" s="55"/>
      <c r="AW13" s="55"/>
      <c r="AX13" s="55"/>
      <c r="AY13" s="55"/>
      <c r="AZ13" s="55"/>
      <c r="BA13" s="55"/>
      <c r="BB13" s="55"/>
      <c r="BC13" s="55"/>
      <c r="BD13" s="55"/>
      <c r="BE13" s="55"/>
      <c r="BF13" s="55"/>
      <c r="BG13" s="55"/>
      <c r="BH13" s="55"/>
      <c r="BI13" s="55"/>
      <c r="BJ13" s="55"/>
      <c r="BK13" s="55"/>
      <c r="BL13" s="55"/>
      <c r="BM13" s="55"/>
      <c r="BN13" s="55"/>
      <c r="BO13" s="55"/>
      <c r="BP13" s="55"/>
      <c r="BQ13" s="55"/>
      <c r="BR13" s="55"/>
      <c r="BS13" s="55"/>
      <c r="BT13" s="55"/>
      <c r="BU13" s="55"/>
      <c r="BV13" s="55"/>
      <c r="BW13" s="55"/>
      <c r="BX13" s="55"/>
      <c r="BY13" s="55"/>
      <c r="BZ13" s="55"/>
      <c r="CA13" s="55"/>
      <c r="CB13" s="55"/>
      <c r="CC13" s="55"/>
      <c r="CD13" s="55"/>
      <c r="CE13" s="55"/>
      <c r="CF13" s="55"/>
      <c r="CG13" s="55"/>
      <c r="CH13" s="55"/>
      <c r="CI13" s="55"/>
      <c r="CJ13" s="55"/>
      <c r="CK13" s="55"/>
      <c r="CL13" s="55"/>
      <c r="CM13" s="55"/>
      <c r="CN13" s="55"/>
      <c r="CO13" s="55"/>
      <c r="CP13" s="55"/>
      <c r="CQ13" s="55"/>
      <c r="CR13" s="55"/>
      <c r="CS13" s="55"/>
      <c r="CT13" s="55"/>
      <c r="CU13" s="55"/>
      <c r="CV13" s="55"/>
      <c r="CW13" s="55"/>
      <c r="CX13" s="55"/>
      <c r="CY13" s="55"/>
      <c r="CZ13" s="55"/>
      <c r="DA13" s="55"/>
      <c r="DB13" s="55"/>
      <c r="DC13" s="55"/>
      <c r="DD13" s="55"/>
      <c r="DE13" s="55"/>
      <c r="DF13" s="55"/>
      <c r="DG13" s="55"/>
      <c r="DH13" s="55"/>
      <c r="DI13" s="55"/>
    </row>
    <row r="14" spans="1:113" s="3" customFormat="1" ht="30" customHeight="1" thickBot="1" x14ac:dyDescent="0.4">
      <c r="A14" s="31" t="s">
        <v>20</v>
      </c>
      <c r="B14" s="82" t="s">
        <v>40</v>
      </c>
      <c r="C14" s="37"/>
      <c r="D14" s="15"/>
      <c r="E14" s="65"/>
      <c r="F14" s="66"/>
      <c r="G14" s="46"/>
      <c r="H14" s="46"/>
      <c r="I14" s="46"/>
      <c r="J14" s="46"/>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row>
    <row r="15" spans="1:113" s="3" customFormat="1" ht="30" customHeight="1" thickBot="1" x14ac:dyDescent="0.4">
      <c r="A15" s="31"/>
      <c r="B15" s="77" t="s">
        <v>45</v>
      </c>
      <c r="C15" s="78"/>
      <c r="D15" s="14">
        <v>1</v>
      </c>
      <c r="E15" s="67">
        <v>45677</v>
      </c>
      <c r="F15" s="67">
        <v>45696</v>
      </c>
      <c r="G15" s="57"/>
      <c r="H15" s="57">
        <f t="shared" si="20"/>
        <v>20</v>
      </c>
      <c r="I15" s="58"/>
      <c r="J15" s="58"/>
      <c r="K15" s="58"/>
      <c r="L15" s="58"/>
      <c r="M15" s="58"/>
      <c r="N15" s="58"/>
      <c r="O15" s="58"/>
      <c r="P15" s="58"/>
      <c r="Q15" s="58"/>
      <c r="R15" s="58"/>
      <c r="S15" s="58"/>
      <c r="T15" s="58"/>
      <c r="U15" s="58"/>
      <c r="V15" s="58"/>
      <c r="W15" s="58"/>
      <c r="X15" s="58"/>
      <c r="Y15" s="58"/>
      <c r="Z15" s="58"/>
      <c r="AA15" s="58"/>
      <c r="AB15" s="58"/>
      <c r="AC15" s="58"/>
      <c r="AD15" s="58"/>
      <c r="AE15" s="58"/>
      <c r="AF15" s="58"/>
      <c r="AG15" s="58"/>
      <c r="AH15" s="58"/>
      <c r="AI15" s="58"/>
      <c r="AJ15" s="58"/>
      <c r="AK15" s="58"/>
      <c r="AL15" s="58"/>
      <c r="AM15" s="58"/>
      <c r="AN15" s="58"/>
      <c r="AO15" s="58"/>
      <c r="AP15" s="58"/>
      <c r="AQ15" s="58"/>
      <c r="AR15" s="58"/>
      <c r="AS15" s="58"/>
      <c r="AT15" s="58"/>
      <c r="AU15" s="58"/>
      <c r="AV15" s="58"/>
      <c r="AW15" s="58"/>
      <c r="AX15" s="58"/>
      <c r="AY15" s="58"/>
      <c r="AZ15" s="58"/>
      <c r="BA15" s="58"/>
      <c r="BB15" s="58"/>
      <c r="BC15" s="58"/>
      <c r="BD15" s="58"/>
      <c r="BE15" s="58"/>
      <c r="BF15" s="58"/>
      <c r="BG15" s="58"/>
      <c r="BH15" s="58"/>
      <c r="BI15" s="58"/>
      <c r="BJ15" s="58"/>
      <c r="BK15" s="58"/>
      <c r="BL15" s="58"/>
      <c r="BM15" s="58"/>
      <c r="BN15" s="58"/>
      <c r="BO15" s="58"/>
      <c r="BP15" s="58"/>
      <c r="BQ15" s="58"/>
      <c r="BR15" s="58"/>
      <c r="BS15" s="58"/>
      <c r="BT15" s="58"/>
      <c r="BU15" s="58"/>
      <c r="BV15" s="58"/>
      <c r="BW15" s="58"/>
      <c r="BX15" s="58"/>
      <c r="BY15" s="58"/>
      <c r="BZ15" s="58"/>
      <c r="CA15" s="58"/>
      <c r="CB15" s="58"/>
      <c r="CC15" s="58"/>
      <c r="CD15" s="58"/>
      <c r="CE15" s="58"/>
      <c r="CF15" s="58"/>
      <c r="CG15" s="58"/>
      <c r="CH15" s="58"/>
      <c r="CI15" s="58"/>
      <c r="CJ15" s="58"/>
      <c r="CK15" s="58"/>
      <c r="CL15" s="58"/>
      <c r="CM15" s="58"/>
      <c r="CN15" s="58"/>
      <c r="CO15" s="58"/>
      <c r="CP15" s="58"/>
      <c r="CQ15" s="58"/>
      <c r="CR15" s="58"/>
      <c r="CS15" s="58"/>
      <c r="CT15" s="58"/>
      <c r="CU15" s="58"/>
      <c r="CV15" s="58"/>
      <c r="CW15" s="58"/>
      <c r="CX15" s="58"/>
      <c r="CY15" s="58"/>
      <c r="CZ15" s="58"/>
      <c r="DA15" s="58"/>
      <c r="DB15" s="58"/>
      <c r="DC15" s="58"/>
      <c r="DD15" s="58"/>
      <c r="DE15" s="58"/>
      <c r="DF15" s="58"/>
      <c r="DG15" s="58"/>
      <c r="DH15" s="58"/>
      <c r="DI15" s="58"/>
    </row>
    <row r="16" spans="1:113" s="3" customFormat="1" ht="30" customHeight="1" thickBot="1" x14ac:dyDescent="0.4">
      <c r="A16" s="30"/>
      <c r="B16" s="77" t="s">
        <v>46</v>
      </c>
      <c r="C16" s="78"/>
      <c r="D16" s="14">
        <v>1</v>
      </c>
      <c r="E16" s="67">
        <v>45680</v>
      </c>
      <c r="F16" s="67">
        <v>45704</v>
      </c>
      <c r="G16" s="57"/>
      <c r="H16" s="57">
        <f t="shared" si="20"/>
        <v>25</v>
      </c>
      <c r="I16" s="58"/>
      <c r="J16" s="58"/>
      <c r="K16" s="58"/>
      <c r="L16" s="58"/>
      <c r="M16" s="58"/>
      <c r="N16" s="58"/>
      <c r="O16" s="58"/>
      <c r="P16" s="58"/>
      <c r="Q16" s="58"/>
      <c r="R16" s="58"/>
      <c r="S16" s="58"/>
      <c r="T16" s="58"/>
      <c r="U16" s="59"/>
      <c r="V16" s="59"/>
      <c r="W16" s="58"/>
      <c r="X16" s="58"/>
      <c r="Y16" s="58"/>
      <c r="Z16" s="58"/>
      <c r="AA16" s="58"/>
      <c r="AB16" s="58"/>
      <c r="AC16" s="58"/>
      <c r="AD16" s="58"/>
      <c r="AE16" s="58"/>
      <c r="AF16" s="58"/>
      <c r="AG16" s="58"/>
      <c r="AH16" s="58"/>
      <c r="AI16" s="58"/>
      <c r="AJ16" s="58"/>
      <c r="AK16" s="58"/>
      <c r="AL16" s="58"/>
      <c r="AM16" s="58"/>
      <c r="AN16" s="58"/>
      <c r="AO16" s="58"/>
      <c r="AP16" s="58"/>
      <c r="AQ16" s="58"/>
      <c r="AR16" s="58"/>
      <c r="AS16" s="58"/>
      <c r="AT16" s="58"/>
      <c r="AU16" s="58"/>
      <c r="AV16" s="58"/>
      <c r="AW16" s="58"/>
      <c r="AX16" s="58"/>
      <c r="AY16" s="58"/>
      <c r="AZ16" s="58"/>
      <c r="BA16" s="58"/>
      <c r="BB16" s="58"/>
      <c r="BC16" s="58"/>
      <c r="BD16" s="58"/>
      <c r="BE16" s="58"/>
      <c r="BF16" s="58"/>
      <c r="BG16" s="58"/>
      <c r="BH16" s="58"/>
      <c r="BI16" s="58"/>
      <c r="BJ16" s="58"/>
      <c r="BK16" s="58"/>
      <c r="BL16" s="58"/>
      <c r="BM16" s="58"/>
      <c r="BN16" s="58"/>
      <c r="BO16" s="58"/>
      <c r="BP16" s="58"/>
      <c r="BQ16" s="58"/>
      <c r="BR16" s="58"/>
      <c r="BS16" s="58"/>
      <c r="BT16" s="58"/>
      <c r="BU16" s="58"/>
      <c r="BV16" s="58"/>
      <c r="BW16" s="58"/>
      <c r="BX16" s="58"/>
      <c r="BY16" s="58"/>
      <c r="BZ16" s="58"/>
      <c r="CA16" s="58"/>
      <c r="CB16" s="58"/>
      <c r="CC16" s="58"/>
      <c r="CD16" s="58"/>
      <c r="CE16" s="58"/>
      <c r="CF16" s="58"/>
      <c r="CG16" s="58"/>
      <c r="CH16" s="58"/>
      <c r="CI16" s="58"/>
      <c r="CJ16" s="58"/>
      <c r="CK16" s="58"/>
      <c r="CL16" s="58"/>
      <c r="CM16" s="58"/>
      <c r="CN16" s="58"/>
      <c r="CO16" s="58"/>
      <c r="CP16" s="58"/>
      <c r="CQ16" s="58"/>
      <c r="CR16" s="58"/>
      <c r="CS16" s="58"/>
      <c r="CT16" s="58"/>
      <c r="CU16" s="58"/>
      <c r="CV16" s="58"/>
      <c r="CW16" s="58"/>
      <c r="CX16" s="58"/>
      <c r="CY16" s="58"/>
      <c r="CZ16" s="58"/>
      <c r="DA16" s="58"/>
      <c r="DB16" s="58"/>
      <c r="DC16" s="58"/>
      <c r="DD16" s="58"/>
      <c r="DE16" s="58"/>
      <c r="DF16" s="58"/>
      <c r="DG16" s="58"/>
      <c r="DH16" s="58"/>
      <c r="DI16" s="58"/>
    </row>
    <row r="17" spans="1:113" s="3" customFormat="1" ht="30" customHeight="1" thickBot="1" x14ac:dyDescent="0.4">
      <c r="A17" s="30"/>
      <c r="B17" s="77" t="s">
        <v>47</v>
      </c>
      <c r="C17" s="78"/>
      <c r="D17" s="14">
        <v>1</v>
      </c>
      <c r="E17" s="67">
        <v>45679</v>
      </c>
      <c r="F17" s="67">
        <v>45685</v>
      </c>
      <c r="G17" s="57"/>
      <c r="H17" s="57">
        <f t="shared" si="20"/>
        <v>7</v>
      </c>
      <c r="I17" s="58"/>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58"/>
      <c r="AQ17" s="58"/>
      <c r="AR17" s="58"/>
      <c r="AS17" s="58"/>
      <c r="AT17" s="58"/>
      <c r="AU17" s="58"/>
      <c r="AV17" s="58"/>
      <c r="AW17" s="58"/>
      <c r="AX17" s="58"/>
      <c r="AY17" s="58"/>
      <c r="AZ17" s="58"/>
      <c r="BA17" s="58"/>
      <c r="BB17" s="58"/>
      <c r="BC17" s="58"/>
      <c r="BD17" s="58"/>
      <c r="BE17" s="58"/>
      <c r="BF17" s="58"/>
      <c r="BG17" s="58"/>
      <c r="BH17" s="58"/>
      <c r="BI17" s="58"/>
      <c r="BJ17" s="58"/>
      <c r="BK17" s="58"/>
      <c r="BL17" s="58"/>
      <c r="BM17" s="58"/>
      <c r="BN17" s="58"/>
      <c r="BO17" s="58"/>
      <c r="BP17" s="58"/>
      <c r="BQ17" s="58"/>
      <c r="BR17" s="58"/>
      <c r="BS17" s="58"/>
      <c r="BT17" s="58"/>
      <c r="BU17" s="58"/>
      <c r="BV17" s="58"/>
      <c r="BW17" s="58"/>
      <c r="BX17" s="58"/>
      <c r="BY17" s="58"/>
      <c r="BZ17" s="58"/>
      <c r="CA17" s="58"/>
      <c r="CB17" s="58"/>
      <c r="CC17" s="58"/>
      <c r="CD17" s="58"/>
      <c r="CE17" s="58"/>
      <c r="CF17" s="58"/>
      <c r="CG17" s="58"/>
      <c r="CH17" s="58"/>
      <c r="CI17" s="58"/>
      <c r="CJ17" s="58"/>
      <c r="CK17" s="58"/>
      <c r="CL17" s="58"/>
      <c r="CM17" s="58"/>
      <c r="CN17" s="58"/>
      <c r="CO17" s="58"/>
      <c r="CP17" s="58"/>
      <c r="CQ17" s="58"/>
      <c r="CR17" s="58"/>
      <c r="CS17" s="58"/>
      <c r="CT17" s="58"/>
      <c r="CU17" s="58"/>
      <c r="CV17" s="58"/>
      <c r="CW17" s="58"/>
      <c r="CX17" s="58"/>
      <c r="CY17" s="58"/>
      <c r="CZ17" s="58"/>
      <c r="DA17" s="58"/>
      <c r="DB17" s="58"/>
      <c r="DC17" s="58"/>
      <c r="DD17" s="58"/>
      <c r="DE17" s="58"/>
      <c r="DF17" s="58"/>
      <c r="DG17" s="58"/>
      <c r="DH17" s="58"/>
      <c r="DI17" s="58"/>
    </row>
    <row r="18" spans="1:113" s="3" customFormat="1" ht="30" customHeight="1" thickBot="1" x14ac:dyDescent="0.4">
      <c r="A18" s="30"/>
      <c r="B18" s="77" t="s">
        <v>56</v>
      </c>
      <c r="C18" s="78"/>
      <c r="D18" s="14">
        <v>1</v>
      </c>
      <c r="E18" s="67">
        <v>45677</v>
      </c>
      <c r="F18" s="67">
        <v>45704</v>
      </c>
      <c r="G18" s="57"/>
      <c r="H18" s="57">
        <f t="shared" si="20"/>
        <v>28</v>
      </c>
      <c r="I18" s="58"/>
      <c r="J18" s="58"/>
      <c r="K18" s="58"/>
      <c r="L18" s="58"/>
      <c r="M18" s="58"/>
      <c r="N18" s="58"/>
      <c r="O18" s="58"/>
      <c r="P18" s="58"/>
      <c r="Q18" s="58"/>
      <c r="R18" s="58"/>
      <c r="S18" s="58"/>
      <c r="T18" s="58"/>
      <c r="U18" s="58"/>
      <c r="V18" s="58"/>
      <c r="W18" s="58"/>
      <c r="X18" s="58"/>
      <c r="Y18" s="59"/>
      <c r="Z18" s="58"/>
      <c r="AA18" s="58"/>
      <c r="AB18" s="58"/>
      <c r="AC18" s="58"/>
      <c r="AD18" s="58"/>
      <c r="AE18" s="58"/>
      <c r="AF18" s="58"/>
      <c r="AG18" s="58"/>
      <c r="AH18" s="58"/>
      <c r="AI18" s="58"/>
      <c r="AJ18" s="58"/>
      <c r="AK18" s="58"/>
      <c r="AL18" s="58"/>
      <c r="AM18" s="58"/>
      <c r="AN18" s="58"/>
      <c r="AO18" s="58"/>
      <c r="AP18" s="58"/>
      <c r="AQ18" s="58"/>
      <c r="AR18" s="58"/>
      <c r="AS18" s="58"/>
      <c r="AT18" s="58"/>
      <c r="AU18" s="58"/>
      <c r="AV18" s="58"/>
      <c r="AW18" s="58"/>
      <c r="AX18" s="58"/>
      <c r="AY18" s="58"/>
      <c r="AZ18" s="58"/>
      <c r="BA18" s="58"/>
      <c r="BB18" s="58"/>
      <c r="BC18" s="58"/>
      <c r="BD18" s="58"/>
      <c r="BE18" s="58"/>
      <c r="BF18" s="58"/>
      <c r="BG18" s="58"/>
      <c r="BH18" s="58"/>
      <c r="BI18" s="58"/>
      <c r="BJ18" s="58"/>
      <c r="BK18" s="58"/>
      <c r="BL18" s="58"/>
      <c r="BM18" s="58"/>
      <c r="BN18" s="58"/>
      <c r="BO18" s="58"/>
      <c r="BP18" s="58"/>
      <c r="BQ18" s="58"/>
      <c r="BR18" s="58"/>
      <c r="BS18" s="58"/>
      <c r="BT18" s="58"/>
      <c r="BU18" s="58"/>
      <c r="BV18" s="58"/>
      <c r="BW18" s="58"/>
      <c r="BX18" s="58"/>
      <c r="BY18" s="58"/>
      <c r="BZ18" s="58"/>
      <c r="CA18" s="58"/>
      <c r="CB18" s="58"/>
      <c r="CC18" s="58"/>
      <c r="CD18" s="58"/>
      <c r="CE18" s="58"/>
      <c r="CF18" s="58"/>
      <c r="CG18" s="58"/>
      <c r="CH18" s="58"/>
      <c r="CI18" s="58"/>
      <c r="CJ18" s="58"/>
      <c r="CK18" s="58"/>
      <c r="CL18" s="58"/>
      <c r="CM18" s="58"/>
      <c r="CN18" s="58"/>
      <c r="CO18" s="58"/>
      <c r="CP18" s="58"/>
      <c r="CQ18" s="58"/>
      <c r="CR18" s="58"/>
      <c r="CS18" s="58"/>
      <c r="CT18" s="58"/>
      <c r="CU18" s="58"/>
      <c r="CV18" s="58"/>
      <c r="CW18" s="58"/>
      <c r="CX18" s="58"/>
      <c r="CY18" s="58"/>
      <c r="CZ18" s="58"/>
      <c r="DA18" s="58"/>
      <c r="DB18" s="58"/>
      <c r="DC18" s="58"/>
      <c r="DD18" s="58"/>
      <c r="DE18" s="58"/>
      <c r="DF18" s="58"/>
      <c r="DG18" s="58"/>
      <c r="DH18" s="58"/>
      <c r="DI18" s="58"/>
    </row>
    <row r="19" spans="1:113" s="3" customFormat="1" ht="30" customHeight="1" thickBot="1" x14ac:dyDescent="0.4">
      <c r="A19" s="30"/>
      <c r="B19" s="77" t="s">
        <v>55</v>
      </c>
      <c r="C19" s="78"/>
      <c r="D19" s="14">
        <v>1</v>
      </c>
      <c r="E19" s="67">
        <v>45685</v>
      </c>
      <c r="F19" s="67">
        <v>45693</v>
      </c>
      <c r="G19" s="57"/>
      <c r="H19" s="57">
        <f t="shared" si="20"/>
        <v>9</v>
      </c>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c r="AQ19" s="58"/>
      <c r="AR19" s="58"/>
      <c r="AS19" s="58"/>
      <c r="AT19" s="58"/>
      <c r="AU19" s="58"/>
      <c r="AV19" s="58"/>
      <c r="AW19" s="58"/>
      <c r="AX19" s="58"/>
      <c r="AY19" s="58"/>
      <c r="AZ19" s="58"/>
      <c r="BA19" s="58"/>
      <c r="BB19" s="58"/>
      <c r="BC19" s="58"/>
      <c r="BD19" s="58"/>
      <c r="BE19" s="58"/>
      <c r="BF19" s="58"/>
      <c r="BG19" s="58"/>
      <c r="BH19" s="58"/>
      <c r="BI19" s="58"/>
      <c r="BJ19" s="58"/>
      <c r="BK19" s="58"/>
      <c r="BL19" s="58"/>
      <c r="BM19" s="58"/>
      <c r="BN19" s="58"/>
      <c r="BO19" s="58"/>
      <c r="BP19" s="58"/>
      <c r="BQ19" s="58"/>
      <c r="BR19" s="58"/>
      <c r="BS19" s="58"/>
      <c r="BT19" s="58"/>
      <c r="BU19" s="58"/>
      <c r="BV19" s="58"/>
      <c r="BW19" s="58"/>
      <c r="BX19" s="58"/>
      <c r="BY19" s="58"/>
      <c r="BZ19" s="58"/>
      <c r="CA19" s="58"/>
      <c r="CB19" s="58"/>
      <c r="CC19" s="58"/>
      <c r="CD19" s="58"/>
      <c r="CE19" s="58"/>
      <c r="CF19" s="58"/>
      <c r="CG19" s="58"/>
      <c r="CH19" s="58"/>
      <c r="CI19" s="58"/>
      <c r="CJ19" s="58"/>
      <c r="CK19" s="58"/>
      <c r="CL19" s="58"/>
      <c r="CM19" s="58"/>
      <c r="CN19" s="58"/>
      <c r="CO19" s="58"/>
      <c r="CP19" s="58"/>
      <c r="CQ19" s="58"/>
      <c r="CR19" s="58"/>
      <c r="CS19" s="58"/>
      <c r="CT19" s="58"/>
      <c r="CU19" s="58"/>
      <c r="CV19" s="58"/>
      <c r="CW19" s="58"/>
      <c r="CX19" s="58"/>
      <c r="CY19" s="58"/>
      <c r="CZ19" s="58"/>
      <c r="DA19" s="58"/>
      <c r="DB19" s="58"/>
      <c r="DC19" s="58"/>
      <c r="DD19" s="58"/>
      <c r="DE19" s="58"/>
      <c r="DF19" s="58"/>
      <c r="DG19" s="58"/>
      <c r="DH19" s="58"/>
      <c r="DI19" s="58"/>
    </row>
    <row r="20" spans="1:113" s="3" customFormat="1" ht="30" customHeight="1" thickBot="1" x14ac:dyDescent="0.4">
      <c r="A20" s="30" t="s">
        <v>21</v>
      </c>
      <c r="B20" s="83" t="s">
        <v>50</v>
      </c>
      <c r="C20" s="38"/>
      <c r="D20" s="16"/>
      <c r="E20" s="68"/>
      <c r="F20" s="69"/>
      <c r="G20" s="47"/>
      <c r="H20" s="47"/>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7"/>
      <c r="AV20" s="47"/>
      <c r="AW20" s="47"/>
      <c r="AX20" s="47"/>
      <c r="AY20" s="47"/>
      <c r="AZ20" s="47"/>
      <c r="BA20" s="47"/>
      <c r="BB20" s="47"/>
      <c r="BC20" s="47"/>
      <c r="BD20" s="47"/>
      <c r="BE20" s="47"/>
      <c r="BF20" s="47"/>
      <c r="BG20" s="47"/>
      <c r="BH20" s="47"/>
      <c r="BI20" s="47"/>
      <c r="BJ20" s="47"/>
      <c r="BK20" s="47"/>
      <c r="BL20" s="47"/>
      <c r="BM20" s="47"/>
      <c r="BN20" s="47"/>
      <c r="BO20" s="47"/>
      <c r="BP20" s="47"/>
      <c r="BQ20" s="47"/>
      <c r="BR20" s="47"/>
      <c r="BS20" s="47"/>
      <c r="BT20" s="47"/>
      <c r="BU20" s="47"/>
      <c r="BV20" s="47"/>
      <c r="BW20" s="47"/>
      <c r="BX20" s="47"/>
      <c r="BY20" s="47"/>
      <c r="BZ20" s="47"/>
      <c r="CA20" s="47"/>
      <c r="CB20" s="47"/>
      <c r="CC20" s="47"/>
      <c r="CD20" s="47"/>
      <c r="CE20" s="47"/>
      <c r="CF20" s="47"/>
      <c r="CG20" s="47"/>
      <c r="CH20" s="47"/>
      <c r="CI20" s="47"/>
      <c r="CJ20" s="47"/>
      <c r="CK20" s="47"/>
      <c r="CL20" s="47"/>
      <c r="CM20" s="47"/>
      <c r="CN20" s="47"/>
      <c r="CO20" s="47"/>
      <c r="CP20" s="47"/>
      <c r="CQ20" s="47"/>
      <c r="CR20" s="47"/>
      <c r="CS20" s="47"/>
      <c r="CT20" s="47"/>
      <c r="CU20" s="47"/>
      <c r="CV20" s="47"/>
      <c r="CW20" s="47"/>
      <c r="CX20" s="47"/>
      <c r="CY20" s="47"/>
      <c r="CZ20" s="47"/>
      <c r="DA20" s="47"/>
      <c r="DB20" s="47"/>
      <c r="DC20" s="47"/>
      <c r="DD20" s="47"/>
      <c r="DE20" s="47"/>
      <c r="DF20" s="47"/>
      <c r="DG20" s="47"/>
      <c r="DH20" s="47"/>
      <c r="DI20" s="47"/>
    </row>
    <row r="21" spans="1:113" s="3" customFormat="1" ht="30" customHeight="1" thickBot="1" x14ac:dyDescent="0.4">
      <c r="A21" s="30"/>
      <c r="B21" s="79" t="s">
        <v>48</v>
      </c>
      <c r="C21" s="39"/>
      <c r="D21" s="14">
        <v>1</v>
      </c>
      <c r="E21" s="70">
        <v>45705</v>
      </c>
      <c r="F21" s="70">
        <v>45711</v>
      </c>
      <c r="G21" s="60"/>
      <c r="H21" s="60"/>
      <c r="I21" s="61"/>
      <c r="J21" s="61"/>
      <c r="K21" s="61"/>
      <c r="L21" s="61"/>
      <c r="M21" s="61"/>
      <c r="N21" s="61"/>
      <c r="O21" s="61"/>
      <c r="P21" s="61"/>
      <c r="Q21" s="61"/>
      <c r="R21" s="61"/>
      <c r="S21" s="61"/>
      <c r="T21" s="61"/>
      <c r="U21" s="61"/>
      <c r="V21" s="61"/>
      <c r="W21" s="61"/>
      <c r="X21" s="61"/>
      <c r="Y21" s="61"/>
      <c r="Z21" s="61"/>
      <c r="AA21" s="61"/>
      <c r="AB21" s="61"/>
      <c r="AC21" s="61"/>
      <c r="AD21" s="61"/>
      <c r="AE21" s="61"/>
      <c r="AF21" s="61"/>
      <c r="AG21" s="61"/>
      <c r="AH21" s="61"/>
      <c r="AI21" s="61"/>
      <c r="AJ21" s="61"/>
      <c r="AK21" s="61"/>
      <c r="AL21" s="61"/>
      <c r="AM21" s="61"/>
      <c r="AN21" s="61"/>
      <c r="AO21" s="61"/>
      <c r="AP21" s="61"/>
      <c r="AQ21" s="61"/>
      <c r="AR21" s="61"/>
      <c r="AS21" s="61"/>
      <c r="AT21" s="61"/>
      <c r="AU21" s="61"/>
      <c r="AV21" s="61"/>
      <c r="AW21" s="61"/>
      <c r="AX21" s="61"/>
      <c r="AY21" s="61"/>
      <c r="AZ21" s="61"/>
      <c r="BA21" s="61"/>
      <c r="BB21" s="61"/>
      <c r="BC21" s="61"/>
      <c r="BD21" s="61"/>
      <c r="BE21" s="61"/>
      <c r="BF21" s="61"/>
      <c r="BG21" s="61"/>
      <c r="BH21" s="61"/>
      <c r="BI21" s="61"/>
      <c r="BJ21" s="61"/>
      <c r="BK21" s="61"/>
      <c r="BL21" s="61"/>
      <c r="BM21" s="61"/>
      <c r="BN21" s="61"/>
      <c r="BO21" s="61"/>
      <c r="BP21" s="61"/>
      <c r="BQ21" s="61"/>
      <c r="BR21" s="61"/>
      <c r="BS21" s="61"/>
      <c r="BT21" s="61"/>
      <c r="BU21" s="61"/>
      <c r="BV21" s="61"/>
      <c r="BW21" s="61"/>
      <c r="BX21" s="61"/>
      <c r="BY21" s="61"/>
      <c r="BZ21" s="61"/>
      <c r="CA21" s="61"/>
      <c r="CB21" s="61"/>
      <c r="CC21" s="61"/>
      <c r="CD21" s="61"/>
      <c r="CE21" s="61"/>
      <c r="CF21" s="61"/>
      <c r="CG21" s="61"/>
      <c r="CH21" s="61"/>
      <c r="CI21" s="61"/>
      <c r="CJ21" s="61"/>
      <c r="CK21" s="61"/>
      <c r="CL21" s="61"/>
      <c r="CM21" s="61"/>
      <c r="CN21" s="61"/>
      <c r="CO21" s="61"/>
      <c r="CP21" s="61"/>
      <c r="CQ21" s="61"/>
      <c r="CR21" s="61"/>
      <c r="CS21" s="61"/>
      <c r="CT21" s="61"/>
      <c r="CU21" s="61"/>
      <c r="CV21" s="61"/>
      <c r="CW21" s="61"/>
      <c r="CX21" s="61"/>
      <c r="CY21" s="61"/>
      <c r="CZ21" s="61"/>
      <c r="DA21" s="61"/>
      <c r="DB21" s="61"/>
      <c r="DC21" s="61"/>
      <c r="DD21" s="61"/>
      <c r="DE21" s="61"/>
      <c r="DF21" s="61"/>
      <c r="DG21" s="61"/>
      <c r="DH21" s="61"/>
      <c r="DI21" s="61"/>
    </row>
    <row r="22" spans="1:113" s="3" customFormat="1" ht="30" customHeight="1" thickBot="1" x14ac:dyDescent="0.4">
      <c r="A22" s="30"/>
      <c r="B22" s="79" t="s">
        <v>49</v>
      </c>
      <c r="C22" s="39"/>
      <c r="D22" s="14">
        <v>1</v>
      </c>
      <c r="E22" s="70">
        <v>45708</v>
      </c>
      <c r="F22" s="70">
        <f>E22+6</f>
        <v>45714</v>
      </c>
      <c r="G22" s="60"/>
      <c r="H22" s="60">
        <f t="shared" si="20"/>
        <v>7</v>
      </c>
      <c r="I22" s="61"/>
      <c r="J22" s="61"/>
      <c r="K22" s="61"/>
      <c r="L22" s="61"/>
      <c r="M22" s="61"/>
      <c r="N22" s="61"/>
      <c r="O22" s="61"/>
      <c r="P22" s="61"/>
      <c r="Q22" s="61"/>
      <c r="R22" s="61"/>
      <c r="S22" s="61"/>
      <c r="T22" s="61"/>
      <c r="U22" s="61"/>
      <c r="V22" s="61"/>
      <c r="W22" s="61"/>
      <c r="X22" s="61"/>
      <c r="Y22" s="61"/>
      <c r="Z22" s="61"/>
      <c r="AA22" s="61"/>
      <c r="AB22" s="61"/>
      <c r="AC22" s="61"/>
      <c r="AD22" s="61"/>
      <c r="AE22" s="61"/>
      <c r="AF22" s="61"/>
      <c r="AG22" s="61"/>
      <c r="AH22" s="61"/>
      <c r="AI22" s="61"/>
      <c r="AJ22" s="61"/>
      <c r="AK22" s="61"/>
      <c r="AL22" s="61"/>
      <c r="AM22" s="61"/>
      <c r="AN22" s="61"/>
      <c r="AO22" s="61"/>
      <c r="AP22" s="61"/>
      <c r="AQ22" s="61"/>
      <c r="AR22" s="61"/>
      <c r="AS22" s="61"/>
      <c r="AT22" s="61"/>
      <c r="AU22" s="61"/>
      <c r="AV22" s="61"/>
      <c r="AW22" s="61"/>
      <c r="AX22" s="61"/>
      <c r="AY22" s="61"/>
      <c r="AZ22" s="61"/>
      <c r="BA22" s="61"/>
      <c r="BB22" s="61"/>
      <c r="BC22" s="61"/>
      <c r="BD22" s="61"/>
      <c r="BE22" s="61"/>
      <c r="BF22" s="61"/>
      <c r="BG22" s="61"/>
      <c r="BH22" s="61"/>
      <c r="BI22" s="61"/>
      <c r="BJ22" s="61"/>
      <c r="BK22" s="61"/>
      <c r="BL22" s="61"/>
      <c r="BM22" s="61"/>
      <c r="BN22" s="61"/>
      <c r="BO22" s="61"/>
      <c r="BP22" s="61"/>
      <c r="BQ22" s="61"/>
      <c r="BR22" s="61"/>
      <c r="BS22" s="61"/>
      <c r="BT22" s="61"/>
      <c r="BU22" s="61"/>
      <c r="BV22" s="61"/>
      <c r="BW22" s="61"/>
      <c r="BX22" s="61"/>
      <c r="BY22" s="61"/>
      <c r="BZ22" s="61"/>
      <c r="CA22" s="61"/>
      <c r="CB22" s="61"/>
      <c r="CC22" s="61"/>
      <c r="CD22" s="61"/>
      <c r="CE22" s="61"/>
      <c r="CF22" s="61"/>
      <c r="CG22" s="61"/>
      <c r="CH22" s="61"/>
      <c r="CI22" s="61"/>
      <c r="CJ22" s="61"/>
      <c r="CK22" s="61"/>
      <c r="CL22" s="61"/>
      <c r="CM22" s="61"/>
      <c r="CN22" s="61"/>
      <c r="CO22" s="61"/>
      <c r="CP22" s="61"/>
      <c r="CQ22" s="61"/>
      <c r="CR22" s="61"/>
      <c r="CS22" s="61"/>
      <c r="CT22" s="61"/>
      <c r="CU22" s="61"/>
      <c r="CV22" s="61"/>
      <c r="CW22" s="61"/>
      <c r="CX22" s="61"/>
      <c r="CY22" s="61"/>
      <c r="CZ22" s="61"/>
      <c r="DA22" s="61"/>
      <c r="DB22" s="61"/>
      <c r="DC22" s="61"/>
      <c r="DD22" s="61"/>
      <c r="DE22" s="61"/>
      <c r="DF22" s="61"/>
      <c r="DG22" s="61"/>
      <c r="DH22" s="61"/>
      <c r="DI22" s="61"/>
    </row>
    <row r="23" spans="1:113" s="3" customFormat="1" ht="30" customHeight="1" thickBot="1" x14ac:dyDescent="0.4">
      <c r="A23" s="30"/>
      <c r="B23" s="79" t="s">
        <v>52</v>
      </c>
      <c r="C23" s="39"/>
      <c r="D23" s="14">
        <v>1</v>
      </c>
      <c r="E23" s="70">
        <v>45712</v>
      </c>
      <c r="F23" s="70">
        <v>45717</v>
      </c>
      <c r="G23" s="60"/>
      <c r="H23" s="60">
        <f t="shared" si="20"/>
        <v>6</v>
      </c>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61"/>
      <c r="AU23" s="61"/>
      <c r="AV23" s="61"/>
      <c r="AW23" s="61"/>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1"/>
      <c r="CK23" s="61"/>
      <c r="CL23" s="61"/>
      <c r="CM23" s="61"/>
      <c r="CN23" s="61"/>
      <c r="CO23" s="61"/>
      <c r="CP23" s="61"/>
      <c r="CQ23" s="61"/>
      <c r="CR23" s="61"/>
      <c r="CS23" s="61"/>
      <c r="CT23" s="61"/>
      <c r="CU23" s="61"/>
      <c r="CV23" s="61"/>
      <c r="CW23" s="61"/>
      <c r="CX23" s="61"/>
      <c r="CY23" s="61"/>
      <c r="CZ23" s="61"/>
      <c r="DA23" s="61"/>
      <c r="DB23" s="61"/>
      <c r="DC23" s="61"/>
      <c r="DD23" s="61"/>
      <c r="DE23" s="61"/>
      <c r="DF23" s="61"/>
      <c r="DG23" s="61"/>
      <c r="DH23" s="61"/>
      <c r="DI23" s="61"/>
    </row>
    <row r="24" spans="1:113" s="3" customFormat="1" ht="30" customHeight="1" thickBot="1" x14ac:dyDescent="0.4">
      <c r="A24" s="30"/>
      <c r="B24" s="79" t="s">
        <v>53</v>
      </c>
      <c r="C24" s="39"/>
      <c r="D24" s="14">
        <v>1</v>
      </c>
      <c r="E24" s="70">
        <v>45715</v>
      </c>
      <c r="F24" s="70">
        <f>E24+6</f>
        <v>45721</v>
      </c>
      <c r="G24" s="60"/>
      <c r="H24" s="60">
        <f t="shared" si="20"/>
        <v>7</v>
      </c>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c r="BU24" s="61"/>
      <c r="BV24" s="61"/>
      <c r="BW24" s="61"/>
      <c r="BX24" s="61"/>
      <c r="BY24" s="61"/>
      <c r="BZ24" s="61"/>
      <c r="CA24" s="61"/>
      <c r="CB24" s="61"/>
      <c r="CC24" s="61"/>
      <c r="CD24" s="61"/>
      <c r="CE24" s="61"/>
      <c r="CF24" s="61"/>
      <c r="CG24" s="61"/>
      <c r="CH24" s="61"/>
      <c r="CI24" s="61"/>
      <c r="CJ24" s="61"/>
      <c r="CK24" s="61"/>
      <c r="CL24" s="61"/>
      <c r="CM24" s="61"/>
      <c r="CN24" s="61"/>
      <c r="CO24" s="61"/>
      <c r="CP24" s="61"/>
      <c r="CQ24" s="61"/>
      <c r="CR24" s="61"/>
      <c r="CS24" s="61"/>
      <c r="CT24" s="61"/>
      <c r="CU24" s="61"/>
      <c r="CV24" s="61"/>
      <c r="CW24" s="61"/>
      <c r="CX24" s="61"/>
      <c r="CY24" s="61"/>
      <c r="CZ24" s="61"/>
      <c r="DA24" s="61"/>
      <c r="DB24" s="61"/>
      <c r="DC24" s="61"/>
      <c r="DD24" s="61"/>
      <c r="DE24" s="61"/>
      <c r="DF24" s="61"/>
      <c r="DG24" s="61"/>
      <c r="DH24" s="61"/>
      <c r="DI24" s="61"/>
    </row>
    <row r="25" spans="1:113" s="3" customFormat="1" ht="30" customHeight="1" thickBot="1" x14ac:dyDescent="0.4">
      <c r="A25" s="30"/>
      <c r="B25" s="79" t="s">
        <v>51</v>
      </c>
      <c r="C25" s="39"/>
      <c r="D25" s="14">
        <v>1</v>
      </c>
      <c r="E25" s="70">
        <v>45722</v>
      </c>
      <c r="F25" s="70">
        <v>45732</v>
      </c>
      <c r="G25" s="60"/>
      <c r="H25" s="60">
        <f t="shared" si="20"/>
        <v>11</v>
      </c>
      <c r="I25" s="61"/>
      <c r="J25" s="61"/>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c r="BU25" s="61"/>
      <c r="BV25" s="61"/>
      <c r="BW25" s="61"/>
      <c r="BX25" s="61"/>
      <c r="BY25" s="61"/>
      <c r="BZ25" s="61"/>
      <c r="CA25" s="61"/>
      <c r="CB25" s="61"/>
      <c r="CC25" s="61"/>
      <c r="CD25" s="61"/>
      <c r="CE25" s="61"/>
      <c r="CF25" s="61"/>
      <c r="CG25" s="61"/>
      <c r="CH25" s="61"/>
      <c r="CI25" s="61"/>
      <c r="CJ25" s="61"/>
      <c r="CK25" s="61"/>
      <c r="CL25" s="61"/>
      <c r="CM25" s="61"/>
      <c r="CN25" s="61"/>
      <c r="CO25" s="61"/>
      <c r="CP25" s="61"/>
      <c r="CQ25" s="61"/>
      <c r="CR25" s="61"/>
      <c r="CS25" s="61"/>
      <c r="CT25" s="61"/>
      <c r="CU25" s="61"/>
      <c r="CV25" s="61"/>
      <c r="CW25" s="61"/>
      <c r="CX25" s="61"/>
      <c r="CY25" s="61"/>
      <c r="CZ25" s="61"/>
      <c r="DA25" s="61"/>
      <c r="DB25" s="61"/>
      <c r="DC25" s="61"/>
      <c r="DD25" s="61"/>
      <c r="DE25" s="61"/>
      <c r="DF25" s="61"/>
      <c r="DG25" s="61"/>
      <c r="DH25" s="61"/>
      <c r="DI25" s="61"/>
    </row>
    <row r="26" spans="1:113" s="3" customFormat="1" ht="30" customHeight="1" thickBot="1" x14ac:dyDescent="0.4">
      <c r="A26" s="30" t="s">
        <v>21</v>
      </c>
      <c r="B26" s="84" t="s">
        <v>60</v>
      </c>
      <c r="C26" s="40"/>
      <c r="D26" s="17"/>
      <c r="E26" s="71"/>
      <c r="F26" s="72"/>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8"/>
      <c r="AQ26" s="48"/>
      <c r="AR26" s="48"/>
      <c r="AS26" s="48"/>
      <c r="AT26" s="48"/>
      <c r="AU26" s="48"/>
      <c r="AV26" s="48"/>
      <c r="AW26" s="48"/>
      <c r="AX26" s="48"/>
      <c r="AY26" s="48"/>
      <c r="AZ26" s="48"/>
      <c r="BA26" s="48"/>
      <c r="BB26" s="48"/>
      <c r="BC26" s="48"/>
      <c r="BD26" s="48"/>
      <c r="BE26" s="48"/>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row>
    <row r="27" spans="1:113" s="3" customFormat="1" ht="30" customHeight="1" thickBot="1" x14ac:dyDescent="0.4">
      <c r="A27" s="30"/>
      <c r="B27" s="80" t="s">
        <v>37</v>
      </c>
      <c r="C27" s="81"/>
      <c r="D27" s="14">
        <v>1</v>
      </c>
      <c r="E27" s="73">
        <v>45674</v>
      </c>
      <c r="F27" s="73">
        <v>45705</v>
      </c>
      <c r="G27" s="62"/>
      <c r="H27" s="62">
        <f t="shared" si="20"/>
        <v>32</v>
      </c>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63"/>
      <c r="AT27" s="63"/>
      <c r="AU27" s="63"/>
      <c r="AV27" s="63"/>
      <c r="AW27" s="63"/>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BX27" s="63"/>
      <c r="BY27" s="63"/>
      <c r="BZ27" s="63"/>
      <c r="CA27" s="63"/>
      <c r="CB27" s="63"/>
      <c r="CC27" s="63"/>
      <c r="CD27" s="63"/>
      <c r="CE27" s="63"/>
      <c r="CF27" s="63"/>
      <c r="CG27" s="63"/>
      <c r="CH27" s="63"/>
      <c r="CI27" s="63"/>
      <c r="CJ27" s="63"/>
      <c r="CK27" s="63"/>
      <c r="CL27" s="63"/>
      <c r="CM27" s="63"/>
      <c r="CN27" s="63"/>
      <c r="CO27" s="63"/>
      <c r="CP27" s="63"/>
      <c r="CQ27" s="63"/>
      <c r="CR27" s="63"/>
      <c r="CS27" s="63"/>
      <c r="CT27" s="63"/>
      <c r="CU27" s="63"/>
      <c r="CV27" s="63"/>
      <c r="CW27" s="63"/>
      <c r="CX27" s="63"/>
      <c r="CY27" s="63"/>
      <c r="CZ27" s="63"/>
      <c r="DA27" s="63"/>
      <c r="DB27" s="63"/>
      <c r="DC27" s="63"/>
      <c r="DD27" s="63"/>
      <c r="DE27" s="63"/>
      <c r="DF27" s="63"/>
      <c r="DG27" s="63"/>
      <c r="DH27" s="63"/>
      <c r="DI27" s="63"/>
    </row>
    <row r="28" spans="1:113" s="3" customFormat="1" ht="30" customHeight="1" thickBot="1" x14ac:dyDescent="0.4">
      <c r="A28" s="30"/>
      <c r="B28" s="80" t="s">
        <v>38</v>
      </c>
      <c r="C28" s="81"/>
      <c r="D28" s="14">
        <v>1</v>
      </c>
      <c r="E28" s="73">
        <v>45705</v>
      </c>
      <c r="F28" s="73">
        <v>45733</v>
      </c>
      <c r="G28" s="62"/>
      <c r="H28" s="62">
        <f t="shared" si="20"/>
        <v>29</v>
      </c>
      <c r="I28" s="63"/>
      <c r="J28" s="63"/>
      <c r="K28" s="63"/>
      <c r="L28" s="63"/>
      <c r="M28" s="63"/>
      <c r="N28" s="63"/>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63"/>
      <c r="AN28" s="63"/>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BX28" s="63"/>
      <c r="BY28" s="63"/>
      <c r="BZ28" s="63"/>
      <c r="CA28" s="63"/>
      <c r="CB28" s="63"/>
      <c r="CC28" s="63"/>
      <c r="CD28" s="63"/>
      <c r="CE28" s="63"/>
      <c r="CF28" s="63"/>
      <c r="CG28" s="63"/>
      <c r="CH28" s="63"/>
      <c r="CI28" s="63"/>
      <c r="CJ28" s="63"/>
      <c r="CK28" s="63"/>
      <c r="CL28" s="63"/>
      <c r="CM28" s="63"/>
      <c r="CN28" s="63"/>
      <c r="CO28" s="63"/>
      <c r="CP28" s="63"/>
      <c r="CQ28" s="63"/>
      <c r="CR28" s="63"/>
      <c r="CS28" s="63"/>
      <c r="CT28" s="63"/>
      <c r="CU28" s="63"/>
      <c r="CV28" s="63"/>
      <c r="CW28" s="63"/>
      <c r="CX28" s="63"/>
      <c r="CY28" s="63"/>
      <c r="CZ28" s="63"/>
      <c r="DA28" s="63"/>
      <c r="DB28" s="63"/>
      <c r="DC28" s="63"/>
      <c r="DD28" s="63"/>
      <c r="DE28" s="63"/>
      <c r="DF28" s="63"/>
      <c r="DG28" s="63"/>
      <c r="DH28" s="63"/>
      <c r="DI28" s="63"/>
    </row>
    <row r="29" spans="1:113" s="3" customFormat="1" ht="30" customHeight="1" thickBot="1" x14ac:dyDescent="0.4">
      <c r="A29" s="30"/>
      <c r="B29" s="80" t="s">
        <v>54</v>
      </c>
      <c r="C29" s="81"/>
      <c r="D29" s="14">
        <v>1</v>
      </c>
      <c r="E29" s="73">
        <v>45733</v>
      </c>
      <c r="F29" s="73">
        <v>45750</v>
      </c>
      <c r="G29" s="62"/>
      <c r="H29" s="62">
        <f t="shared" si="20"/>
        <v>18</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3"/>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BX29" s="63"/>
      <c r="BY29" s="63"/>
      <c r="BZ29" s="63"/>
      <c r="CA29" s="63"/>
      <c r="CB29" s="63"/>
      <c r="CC29" s="63"/>
      <c r="CD29" s="63"/>
      <c r="CE29" s="63"/>
      <c r="CF29" s="63"/>
      <c r="CG29" s="63"/>
      <c r="CH29" s="63"/>
      <c r="CI29" s="63"/>
      <c r="CJ29" s="63"/>
      <c r="CK29" s="63"/>
      <c r="CL29" s="63"/>
      <c r="CM29" s="63"/>
      <c r="CN29" s="63"/>
      <c r="CO29" s="63"/>
      <c r="CP29" s="63"/>
      <c r="CQ29" s="63"/>
      <c r="CR29" s="63"/>
      <c r="CS29" s="63"/>
      <c r="CT29" s="63"/>
      <c r="CU29" s="63"/>
      <c r="CV29" s="63"/>
      <c r="CW29" s="63"/>
      <c r="CX29" s="63"/>
      <c r="CY29" s="63"/>
      <c r="CZ29" s="63"/>
      <c r="DA29" s="63"/>
      <c r="DB29" s="63"/>
      <c r="DC29" s="63"/>
      <c r="DD29" s="63"/>
      <c r="DE29" s="63"/>
      <c r="DF29" s="63"/>
      <c r="DG29" s="63"/>
      <c r="DH29" s="63"/>
      <c r="DI29" s="63"/>
    </row>
    <row r="30" spans="1:113" s="3" customFormat="1" ht="30" customHeight="1" thickBot="1" x14ac:dyDescent="0.4">
      <c r="A30" s="30"/>
      <c r="B30" s="80" t="s">
        <v>61</v>
      </c>
      <c r="C30" s="81"/>
      <c r="D30" s="14">
        <v>1</v>
      </c>
      <c r="E30" s="73">
        <v>45750</v>
      </c>
      <c r="F30" s="73">
        <v>45757</v>
      </c>
      <c r="G30" s="62"/>
      <c r="H30" s="62">
        <f t="shared" si="20"/>
        <v>8</v>
      </c>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BX30" s="63"/>
      <c r="BY30" s="63"/>
      <c r="BZ30" s="63"/>
      <c r="CA30" s="63"/>
      <c r="CB30" s="63"/>
      <c r="CC30" s="63"/>
      <c r="CD30" s="63"/>
      <c r="CE30" s="63"/>
      <c r="CF30" s="63"/>
      <c r="CG30" s="63"/>
      <c r="CH30" s="63"/>
      <c r="CI30" s="63"/>
      <c r="CJ30" s="63"/>
      <c r="CK30" s="63"/>
      <c r="CL30" s="63"/>
      <c r="CM30" s="63"/>
      <c r="CN30" s="63"/>
      <c r="CO30" s="63"/>
      <c r="CP30" s="63"/>
      <c r="CQ30" s="63"/>
      <c r="CR30" s="63"/>
      <c r="CS30" s="63"/>
      <c r="CT30" s="63"/>
      <c r="CU30" s="63"/>
      <c r="CV30" s="63"/>
      <c r="CW30" s="63"/>
      <c r="CX30" s="63"/>
      <c r="CY30" s="63"/>
      <c r="CZ30" s="63"/>
      <c r="DA30" s="63"/>
      <c r="DB30" s="63"/>
      <c r="DC30" s="63"/>
      <c r="DD30" s="63"/>
      <c r="DE30" s="63"/>
      <c r="DF30" s="63"/>
      <c r="DG30" s="63"/>
      <c r="DH30" s="63"/>
      <c r="DI30" s="63"/>
    </row>
    <row r="31" spans="1:113" s="3" customFormat="1" ht="26.5" customHeight="1" thickBot="1" x14ac:dyDescent="0.4">
      <c r="A31" s="30"/>
      <c r="B31" s="80" t="s">
        <v>58</v>
      </c>
      <c r="C31" s="81"/>
      <c r="D31" s="14">
        <v>1</v>
      </c>
      <c r="E31" s="73">
        <v>45757</v>
      </c>
      <c r="F31" s="73">
        <v>45767</v>
      </c>
      <c r="G31" s="62"/>
      <c r="H31" s="62">
        <f t="shared" si="20"/>
        <v>11</v>
      </c>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BX31" s="63"/>
      <c r="BY31" s="63"/>
      <c r="BZ31" s="63"/>
      <c r="CA31" s="63"/>
      <c r="CB31" s="63"/>
      <c r="CC31" s="63"/>
      <c r="CD31" s="63"/>
      <c r="CE31" s="63"/>
      <c r="CF31" s="63"/>
      <c r="CG31" s="63"/>
      <c r="CH31" s="63"/>
      <c r="CI31" s="63"/>
      <c r="CJ31" s="63"/>
      <c r="CK31" s="63"/>
      <c r="CL31" s="63"/>
      <c r="CM31" s="63"/>
      <c r="CN31" s="63"/>
      <c r="CO31" s="63"/>
      <c r="CP31" s="63"/>
      <c r="CQ31" s="63"/>
      <c r="CR31" s="63"/>
      <c r="CS31" s="63"/>
      <c r="CT31" s="63"/>
      <c r="CU31" s="63"/>
      <c r="CV31" s="63"/>
      <c r="CW31" s="63"/>
      <c r="CX31" s="63"/>
      <c r="CY31" s="63"/>
      <c r="CZ31" s="63"/>
      <c r="DA31" s="63"/>
      <c r="DB31" s="63"/>
      <c r="DC31" s="63"/>
      <c r="DD31" s="63"/>
      <c r="DE31" s="63"/>
      <c r="DF31" s="63"/>
      <c r="DG31" s="63"/>
      <c r="DH31" s="63"/>
      <c r="DI31" s="63"/>
    </row>
    <row r="32" spans="1:113" ht="30" customHeight="1" x14ac:dyDescent="0.35">
      <c r="G32" s="6"/>
    </row>
    <row r="33" spans="3:6" ht="30" customHeight="1" x14ac:dyDescent="0.35">
      <c r="C33" s="11"/>
      <c r="F33" s="32"/>
    </row>
    <row r="34" spans="3:6" ht="30" customHeight="1" x14ac:dyDescent="0.35">
      <c r="C34" s="12"/>
    </row>
  </sheetData>
  <mergeCells count="18">
    <mergeCell ref="C3:D3"/>
    <mergeCell ref="C4:D4"/>
    <mergeCell ref="AK4:AQ4"/>
    <mergeCell ref="AR4:AX4"/>
    <mergeCell ref="AY4:BE4"/>
    <mergeCell ref="DC4:DI4"/>
    <mergeCell ref="CV4:DB4"/>
    <mergeCell ref="BF4:BL4"/>
    <mergeCell ref="E3:F3"/>
    <mergeCell ref="I4:O4"/>
    <mergeCell ref="P4:V4"/>
    <mergeCell ref="W4:AC4"/>
    <mergeCell ref="AD4:AJ4"/>
    <mergeCell ref="BM4:BS4"/>
    <mergeCell ref="BT4:BZ4"/>
    <mergeCell ref="CA4:CG4"/>
    <mergeCell ref="CH4:CN4"/>
    <mergeCell ref="CO4:CU4"/>
  </mergeCells>
  <conditionalFormatting sqref="D7:D31">
    <cfRule type="dataBar" priority="2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CU7 I9:DI13 I15:DI19 I21:DI25 I27:DI31">
    <cfRule type="expression" dxfId="3" priority="11">
      <formula>AND(TODAY()&gt;=I$5,TODAY()&lt;J$5)</formula>
    </cfRule>
  </conditionalFormatting>
  <conditionalFormatting sqref="I7:CU7 I9:DI13 I15:DI19 I21:DI25 I27:DI31">
    <cfRule type="expression" dxfId="2" priority="3">
      <formula>AND(task_start&lt;=I$5,ROUNDDOWN((task_end-task_start+1)*task_progress,0)+task_start-1&gt;=I$5)</formula>
    </cfRule>
    <cfRule type="expression" dxfId="1" priority="4" stopIfTrue="1">
      <formula>AND(task_end&gt;=I$5,task_start&lt;J$5)</formula>
    </cfRule>
  </conditionalFormatting>
  <conditionalFormatting sqref="CV5:DI6">
    <cfRule type="expression" dxfId="0" priority="1">
      <formula>AND(TODAY()&gt;=CV$5,TODAY()&lt;CW$5)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26"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3" zoomScaleNormal="100" workbookViewId="0"/>
  </sheetViews>
  <sheetFormatPr baseColWidth="10" defaultColWidth="9.1796875" defaultRowHeight="13" x14ac:dyDescent="0.3"/>
  <cols>
    <col min="1" max="1" width="87.1796875" style="20" customWidth="1"/>
    <col min="2" max="16384" width="9.1796875" style="2"/>
  </cols>
  <sheetData>
    <row r="1" spans="1:2" ht="46.5" customHeight="1" x14ac:dyDescent="0.3"/>
    <row r="2" spans="1:2" s="22" customFormat="1" ht="15.5" x14ac:dyDescent="0.35">
      <c r="A2" s="21" t="s">
        <v>1</v>
      </c>
      <c r="B2" s="21"/>
    </row>
    <row r="3" spans="1:2" s="26" customFormat="1" ht="27" customHeight="1" x14ac:dyDescent="0.35">
      <c r="A3" s="44" t="s">
        <v>4</v>
      </c>
      <c r="B3" s="27"/>
    </row>
    <row r="4" spans="1:2" s="23" customFormat="1" ht="26" x14ac:dyDescent="0.6">
      <c r="A4" s="24" t="s">
        <v>22</v>
      </c>
    </row>
    <row r="5" spans="1:2" ht="74.150000000000006" customHeight="1" x14ac:dyDescent="0.3">
      <c r="A5" s="25" t="s">
        <v>23</v>
      </c>
    </row>
    <row r="6" spans="1:2" ht="26.25" customHeight="1" x14ac:dyDescent="0.3">
      <c r="A6" s="24" t="s">
        <v>24</v>
      </c>
    </row>
    <row r="7" spans="1:2" s="20" customFormat="1" ht="215.25" customHeight="1" x14ac:dyDescent="0.35">
      <c r="A7" s="29" t="s">
        <v>25</v>
      </c>
    </row>
    <row r="8" spans="1:2" s="23" customFormat="1" ht="26" x14ac:dyDescent="0.6">
      <c r="A8" s="24" t="s">
        <v>26</v>
      </c>
    </row>
    <row r="9" spans="1:2" ht="72.5" x14ac:dyDescent="0.3">
      <c r="A9" s="25" t="s">
        <v>27</v>
      </c>
    </row>
    <row r="10" spans="1:2" s="20" customFormat="1" ht="28" customHeight="1" x14ac:dyDescent="0.35">
      <c r="A10" s="28" t="s">
        <v>28</v>
      </c>
    </row>
    <row r="11" spans="1:2" s="23" customFormat="1" ht="26" x14ac:dyDescent="0.6">
      <c r="A11" s="24" t="s">
        <v>29</v>
      </c>
    </row>
    <row r="12" spans="1:2" ht="29" x14ac:dyDescent="0.3">
      <c r="A12" s="25" t="s">
        <v>30</v>
      </c>
    </row>
    <row r="13" spans="1:2" s="20" customFormat="1" ht="28" customHeight="1" x14ac:dyDescent="0.35">
      <c r="A13" s="28" t="s">
        <v>31</v>
      </c>
    </row>
    <row r="14" spans="1:2" s="23" customFormat="1" ht="26" x14ac:dyDescent="0.6">
      <c r="A14" s="24" t="s">
        <v>32</v>
      </c>
    </row>
    <row r="15" spans="1:2" ht="96.75" customHeight="1" x14ac:dyDescent="0.3">
      <c r="A15" s="25" t="s">
        <v>33</v>
      </c>
    </row>
    <row r="16" spans="1:2" ht="87" x14ac:dyDescent="0.3">
      <c r="A16" s="25" t="s">
        <v>34</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sharepoint/v3"/>
    <ds:schemaRef ds:uri="230e9df3-be65-4c73-a93b-d1236ebd677e"/>
    <ds:schemaRef ds:uri="http://purl.org/dc/terms/"/>
    <ds:schemaRef ds:uri="http://schemas.openxmlformats.org/package/2006/metadata/core-properties"/>
    <ds:schemaRef ds:uri="16c05727-aa75-4e4a-9b5f-8a80a1165891"/>
    <ds:schemaRef ds:uri="http://schemas.microsoft.com/office/2006/documentManagement/types"/>
    <ds:schemaRef ds:uri="http://schemas.microsoft.com/office/infopath/2007/PartnerControls"/>
    <ds:schemaRef ds:uri="http://purl.org/dc/elements/1.1/"/>
    <ds:schemaRef ds:uri="71af3243-3dd4-4a8d-8c0d-dd76da1f02a5"/>
    <ds:schemaRef ds:uri="http://www.w3.org/XML/1998/namespace"/>
    <ds:schemaRef ds:uri="http://purl.org/dc/dcmityp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ProjectSchedule</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2025-05-20T10:08:53Z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